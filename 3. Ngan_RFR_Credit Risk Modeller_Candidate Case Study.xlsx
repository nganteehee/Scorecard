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60" firstSheet="1" activeTab="6"/>
  </bookViews>
  <sheets>
    <sheet name="Instructions" sheetId="14" r:id="rId1"/>
    <sheet name="Data" sheetId="16" r:id="rId2"/>
    <sheet name="Data_Bin" sheetId="17" r:id="rId3"/>
    <sheet name="Data_Bin_clean" sheetId="26" r:id="rId4"/>
    <sheet name="Scorecard" sheetId="19" r:id="rId5"/>
    <sheet name="Test" sheetId="13" r:id="rId6"/>
    <sheet name="Solution" sheetId="20" r:id="rId7"/>
    <sheet name="Default Rate By bin" sheetId="25" r:id="rId8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1" hidden="1">Data!$A$1:$J$558</definedName>
    <definedName name="_xlnm._FilterDatabase" localSheetId="2" hidden="1">Data_Bin!$A$1:$J$558</definedName>
    <definedName name="_xlnm._FilterDatabase" localSheetId="3" hidden="1">Data_Bin_clean!$A$1:$J$558</definedName>
    <definedName name="_AMO_UniqueIdentifier" hidden="1">"'901dd53c-5837-49f7-b500-a1ac6b815831'"</definedName>
    <definedName name="AccountStatus">#REF!</definedName>
    <definedName name="BANKING_DATABASE_FINAL">#REF!</definedName>
    <definedName name="Beta">#REF!</definedName>
    <definedName name="Branch1">#REF!</definedName>
    <definedName name="Constant.No.Factor">[1]Score!$D$119</definedName>
    <definedName name="Country">OFFSET([2]Master!$B$3,1,0,COUNTA([2]Master!$B:$B)-1)</definedName>
    <definedName name="CrfFileName">[3]ws!$B$28</definedName>
    <definedName name="DataMonthName">[3]ws!$B$3</definedName>
    <definedName name="DataYear">[3]ws!$B$18</definedName>
    <definedName name="Excel_BuiltIn_Print_Area_10">#REF!</definedName>
    <definedName name="Excel_BuiltIn_Print_Area_10_1">NA()</definedName>
    <definedName name="Exclusion_Flag">OFFSET('[4]Score Generator'!$CK$8,0,0,COUNTA(INDIRECT("'Score Generator'!$A$5:$A"&amp;ROWS('[4]Score Generator'!$A:$A))),1)</definedName>
    <definedName name="External_Credit_Rating">OFFSET('[5]Score Generator'!$BJ$8,0,0,COUNTA(INDIRECT("'Score Generator'!$A$5:$A"&amp;ROWS('[5]Score Generator'!$A:$A))),1)</definedName>
    <definedName name="Issue_Priority">#REF!</definedName>
    <definedName name="Issue_Status">#REF!</definedName>
    <definedName name="Issue_Workstream">#REF!</definedName>
    <definedName name="NameThai">[3]ws!$H$5</definedName>
    <definedName name="PositionName">[3]ws!$H$6</definedName>
    <definedName name="PrintBy">[3]ws!$H$4</definedName>
    <definedName name="PrintDate">[3]ws!$H$3</definedName>
    <definedName name="Ref_No">OFFSET('[4]Score Generator'!$A$8,0,0,COUNTA(INDIRECT("'Score Generator'!$A$5:$A"&amp;ROWS('[4]Score Generator'!$A:$A))),1)</definedName>
    <definedName name="ReqStatus">[6]Sheet1!$A$31:$A$33</definedName>
    <definedName name="Risk_Impact">#REF!</definedName>
    <definedName name="Risk_Probability">#REF!</definedName>
    <definedName name="Risk_Status">#REF!</definedName>
    <definedName name="Risk_Workstream">#REF!</definedName>
    <definedName name="Score_Gen_Value">OFFSET('[4]Score Generator'!$A$8,0,0,COUNTA(INDIRECT("'Score Generator'!$A$5:$A"&amp;ROWS('[4]Score Generator'!$A:$A))),COUNTA('[4]Score Generator'!$A$5:$DF$5))</definedName>
    <definedName name="sfs">#REF!</definedName>
    <definedName name="Status">#REF!</definedName>
    <definedName name="u">#REF!</definedName>
    <definedName name="unrated">#REF!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<sst xmlns="http://schemas.openxmlformats.org/spreadsheetml/2006/main" count="9873" uniqueCount="304">
  <si>
    <t>Background and Problem Statement</t>
  </si>
  <si>
    <t>• This exercise is related to credit scoring or scorecard development. The loans portfolio in scope is SME portfolio of the Bank.
• Due to fairly low defaulted cases (50 cases), the Credit Scorecard development would adopt the Hybrid approach (between Expert-based and Statistical analysis).
• The weights of each feature and risk component of the scorecard are currently determined based on the Bank's credit experts judgement.
• However, the Bank would like to employ data or quantiatative analysis to objectively support the determination of such weights.</t>
  </si>
  <si>
    <t>Input Data Provided:</t>
  </si>
  <si>
    <t>• This spreadsheet contains the input data for credit scorecard development.</t>
  </si>
  <si>
    <r>
      <rPr>
        <u/>
        <sz val="11"/>
        <color theme="1"/>
        <rFont val="Calibri"/>
        <charset val="134"/>
      </rPr>
      <t>Notes for Input Data</t>
    </r>
    <r>
      <rPr>
        <sz val="11"/>
        <color theme="1"/>
        <rFont val="Calibri"/>
        <charset val="134"/>
      </rPr>
      <t xml:space="preserve">
- Only eight generic features related to customers’ credit history and financial factors are provided for this exercise.
- The Default Flag is provided (i.e. whether a customer has ever exceeded 90 days past due (DPD) within the next 24 months), where a value of 1 denotes default.
- The sheet 'Data' contains data before applying binning or grouping.
- The sheet 'Data_Bin' contains data after applying binning or grouping to numerical features.
- Some numerical features contain specially assigned values (e.g., 99999999, 99999998) to indicate special cases or invalid calculations (such as when the denominator equals zero).
- The sheet 'Scorecard' provides the assigned credit scores corresponding to each attribute.. </t>
    </r>
  </si>
  <si>
    <t>Instruction:</t>
  </si>
  <si>
    <r>
      <rPr>
        <sz val="11"/>
        <color theme="1"/>
        <rFont val="Calibri"/>
        <charset val="134"/>
      </rPr>
      <t xml:space="preserve">• Please provide your answers in sheet 'Test'. The focus is to use data and quantitative analysis to justify and support your rationales or point of views.
• You can use Python or MS Excel to perform the data and quantitative analysis.
• You are required to prepare up to a total of 12 slides covering the following areas, the presentation slides you draft will be used as part of the interview evaluation process.
• Please revert this file (and any necessary working files) and present your work in the session. </t>
    </r>
    <r>
      <rPr>
        <b/>
        <sz val="11"/>
        <color theme="1"/>
        <rFont val="Calibri"/>
        <charset val="134"/>
      </rPr>
      <t>You will have 20 minutes for the presentation</t>
    </r>
    <r>
      <rPr>
        <sz val="11"/>
        <color theme="1"/>
        <rFont val="Calibri"/>
        <charset val="134"/>
      </rPr>
      <t>.</t>
    </r>
  </si>
  <si>
    <t>Cus_ID</t>
  </si>
  <si>
    <t>Debt restructuring history</t>
  </si>
  <si>
    <t>Debt rescheduling history (reschedule)</t>
  </si>
  <si>
    <t>Worst credit bureau delinquency record in the past 2 years</t>
  </si>
  <si>
    <t>Net Fixed Asset</t>
  </si>
  <si>
    <t>Net Profit Margin (%)</t>
  </si>
  <si>
    <t>Sale Growth (%)</t>
  </si>
  <si>
    <t>Debt-to-Equity Ratio</t>
  </si>
  <si>
    <t>Debt Service Coverage Area</t>
  </si>
  <si>
    <t>Default Flag</t>
  </si>
  <si>
    <t>No debt restructuring history</t>
  </si>
  <si>
    <t>No debt rescheduling history (payment term relief)</t>
  </si>
  <si>
    <t>Record found in credit bureau but no delinquency history</t>
  </si>
  <si>
    <t>Restructured debt with regular payments for more than 12 months</t>
  </si>
  <si>
    <t>Rescheduled debt with regular payments for more than 12 months</t>
  </si>
  <si>
    <t>Restructured debt with regular payments for 6-12 months</t>
  </si>
  <si>
    <t>Rescheduled debt with regular payments for 6-12 months</t>
  </si>
  <si>
    <t>Overdue more than 90 days within the past 1 year</t>
  </si>
  <si>
    <t>Rescheduled debt with regular payments for less than 6 months</t>
  </si>
  <si>
    <t>Overdue 1-30 days within the past 1 year</t>
  </si>
  <si>
    <t>Credit bureau check not performed (exempted)</t>
  </si>
  <si>
    <t>›</t>
  </si>
  <si>
    <t>Credit bureau check not performed</t>
  </si>
  <si>
    <t>Overdue 31–60 days within the past 1 year</t>
  </si>
  <si>
    <t>Restructured debt with regular payments for less than 6 months</t>
  </si>
  <si>
    <t>Overdue 61–90 days within the past 1 year</t>
  </si>
  <si>
    <t>Overdue 31–60 days more than 1 year ago</t>
  </si>
  <si>
    <t>No record found in credit bureau</t>
  </si>
  <si>
    <t>Overdue more than 90 days more than 1 year ago</t>
  </si>
  <si>
    <t>Never restructured debt</t>
  </si>
  <si>
    <t>Restructured debt in the past</t>
  </si>
  <si>
    <t>Overdue 61–90 days more than 1 year ago</t>
  </si>
  <si>
    <t>Overdue 1–30 days more than 1 year ago</t>
  </si>
  <si>
    <t>(0, 50000000)</t>
  </si>
  <si>
    <t>&lt;=0</t>
  </si>
  <si>
    <t>(150000000, 250000000)</t>
  </si>
  <si>
    <t>(0.5, 1)</t>
  </si>
  <si>
    <t>(0, 0.25)</t>
  </si>
  <si>
    <t>&gt;250000000</t>
  </si>
  <si>
    <t>(0, 0.5)</t>
  </si>
  <si>
    <t>(0.5, 0.75)</t>
  </si>
  <si>
    <t>(50000000, 100000000)</t>
  </si>
  <si>
    <t>&gt;30</t>
  </si>
  <si>
    <t>(7.5, 15)</t>
  </si>
  <si>
    <t>(1, 1.5)</t>
  </si>
  <si>
    <t>(0.75, 1)</t>
  </si>
  <si>
    <t>(1.2, 2)</t>
  </si>
  <si>
    <t>(0.25, 0.5)</t>
  </si>
  <si>
    <t>(0, 2.5)</t>
  </si>
  <si>
    <t>(0, 5)</t>
  </si>
  <si>
    <t>(1.5, 3)</t>
  </si>
  <si>
    <t>(100000000, 150000000)</t>
  </si>
  <si>
    <t>&gt;2</t>
  </si>
  <si>
    <t>&gt;15</t>
  </si>
  <si>
    <t>(2.5, 7.5)</t>
  </si>
  <si>
    <t>(1, 1.2)</t>
  </si>
  <si>
    <t>&gt;5</t>
  </si>
  <si>
    <t>(15, 30)</t>
  </si>
  <si>
    <t>(5, 15)</t>
  </si>
  <si>
    <t>(3, 5)</t>
  </si>
  <si>
    <t>Not available</t>
  </si>
  <si>
    <t>Unique key</t>
  </si>
  <si>
    <t>Index</t>
  </si>
  <si>
    <t>Feature</t>
  </si>
  <si>
    <t>Credit Score</t>
  </si>
  <si>
    <t>C1</t>
  </si>
  <si>
    <t>C2</t>
  </si>
  <si>
    <t>C3</t>
  </si>
  <si>
    <t>F1</t>
  </si>
  <si>
    <t>F2</t>
  </si>
  <si>
    <t>Denominator equal to 0 (99999999)</t>
  </si>
  <si>
    <t>F3</t>
  </si>
  <si>
    <t>F4</t>
  </si>
  <si>
    <t>Negative Equity (99999998)</t>
  </si>
  <si>
    <t>F5</t>
  </si>
  <si>
    <t>Candidate Name:</t>
  </si>
  <si>
    <t>Please provide your answers below. The focus is to use data / quantitative analysis to justify / support your rationales / point of views.</t>
  </si>
  <si>
    <t>Current State</t>
  </si>
  <si>
    <t>The Bank's Credit Experts currently determine the weights of each feature and risk component of the scorecard based on expert judgement as follows:</t>
  </si>
  <si>
    <t>Risk Component / Feature</t>
  </si>
  <si>
    <t>Weight</t>
  </si>
  <si>
    <t>C_Credit History</t>
  </si>
  <si>
    <t>C1_History of Debt Restructuring</t>
  </si>
  <si>
    <t>C2_History of Debt Repayment with Rescheduling and Payment Relaxation</t>
  </si>
  <si>
    <t>C3_Worst Credit Bureau Delinquency Record in the Past 2 Years</t>
  </si>
  <si>
    <t>F_Financial Factor</t>
  </si>
  <si>
    <t>F1_Net Fixed Asset</t>
  </si>
  <si>
    <t>F2_Net Profit Margin (%)</t>
  </si>
  <si>
    <t>F3_Sale Growth (%)</t>
  </si>
  <si>
    <t>F4_Debt-to-Equity Ratio</t>
  </si>
  <si>
    <t>F5_Debt Service Coverage Ratio</t>
  </si>
  <si>
    <t>Note: Weights of C+F = 100%, C1+C2+C3 = 100%, F1+F2+F3+F4+F5 = 100%.</t>
  </si>
  <si>
    <t>Test Questions</t>
  </si>
  <si>
    <t>1. Based on the information and data provided, please assess the assigned weights of each feature or risk component (Columns D &amp; E).
From the data and quantitative analysis perspective, which features or risk components are over- or under-weight? Please elaborate your rationales.</t>
  </si>
  <si>
    <t>Answers:</t>
  </si>
  <si>
    <t>2. Any suggestions or enhancements regarding the formulated scorecard (i.e. to make it more sensible in terms of a good credit risk model)?</t>
  </si>
  <si>
    <t>3. How would you approach EDA for a dataset containing borrower financial details, macroeconomic variables, and default history to identify key predictors of default?</t>
  </si>
  <si>
    <t>4. Can you explain the steps involved in developing a logistic regression model to estimate the Probability of Default (PD) and describe the assumptions underlying this method?</t>
  </si>
  <si>
    <t>5. How would you evaluate the performance of a logistic regression model for credit risk, including statistical goodness-of-fit, discriminatory power (e.g., AUC-ROC), and forecasting accuracy?</t>
  </si>
  <si>
    <t>Note:</t>
  </si>
  <si>
    <t>You are required to prepare up to a total of 12 slides covering the following areas, the presentation slides you draft will be used as part of the interview evaluation process.</t>
  </si>
  <si>
    <t>Question 1</t>
  </si>
  <si>
    <t>Methodology</t>
  </si>
  <si>
    <t>Implement Weight of Evidence method to measure the predictie power of independent variable in relation to target variable (default,  non-default)</t>
  </si>
  <si>
    <t>The output is Information Value (IV) and it measures the different between event and non-event distribution</t>
  </si>
  <si>
    <t>Steps:</t>
  </si>
  <si>
    <t>(1) Assign each value to a bin. In case of continous variable,  mapping its value to concrete bin.</t>
  </si>
  <si>
    <t>(2) Calculate WoE of each bin</t>
  </si>
  <si>
    <t>(3) Calculate IV Value by summing the WoE of every bin of that feature</t>
  </si>
  <si>
    <t>By convention, the meaning of IV values are:</t>
  </si>
  <si>
    <t>IV</t>
  </si>
  <si>
    <t>Predictive Power</t>
  </si>
  <si>
    <t>&lt; 0.02</t>
  </si>
  <si>
    <t>No predictive power</t>
  </si>
  <si>
    <t>0.02 - 0.1</t>
  </si>
  <si>
    <t>Weak</t>
  </si>
  <si>
    <t>0.1 - 0.3</t>
  </si>
  <si>
    <t>Moderate</t>
  </si>
  <si>
    <t>0.3-0.5</t>
  </si>
  <si>
    <t>Strong</t>
  </si>
  <si>
    <t>&gt;= 0.5</t>
  </si>
  <si>
    <t>Very strong</t>
  </si>
  <si>
    <t>Example</t>
  </si>
  <si>
    <t>Here is a IV detail calculation of Debt restructuring history</t>
  </si>
  <si>
    <t xml:space="preserve">Total </t>
  </si>
  <si>
    <t>Event</t>
  </si>
  <si>
    <t>Dist. Event</t>
  </si>
  <si>
    <t>Non Event</t>
  </si>
  <si>
    <t>Dist. Non Event</t>
  </si>
  <si>
    <t>WoE</t>
  </si>
  <si>
    <t>Sum</t>
  </si>
  <si>
    <t>Similarly, a full IV index have been calculated using python (please refer working file)</t>
  </si>
  <si>
    <t>Suggestion</t>
  </si>
  <si>
    <r>
      <rPr>
        <i/>
        <sz val="11"/>
        <color theme="1"/>
        <rFont val="Calibri"/>
        <charset val="134"/>
      </rPr>
      <t>C3_Worst credit bureau delinquency record in the past 2 years</t>
    </r>
    <r>
      <rPr>
        <sz val="11"/>
        <color theme="1"/>
        <rFont val="Calibri"/>
        <charset val="134"/>
      </rPr>
      <t xml:space="preserve"> have been underweighted </t>
    </r>
  </si>
  <si>
    <t>Bin 'Overdue more than 90 days more than 1 year ago' have 100% of default (7 samples) while 'Record found in credit bureau but no delinquency history' only have 5%</t>
  </si>
  <si>
    <t>Based on the IV calculation, this shoubd be the strongest predictor and the weight should be closer to 40%</t>
  </si>
  <si>
    <r>
      <rPr>
        <sz val="11"/>
        <color theme="1"/>
        <rFont val="Calibri"/>
        <charset val="134"/>
      </rPr>
      <t xml:space="preserve">Similarly, </t>
    </r>
    <r>
      <rPr>
        <i/>
        <sz val="11"/>
        <color theme="1"/>
        <rFont val="Calibri"/>
        <charset val="134"/>
      </rPr>
      <t xml:space="preserve"> F1_Net Fixed Asset</t>
    </r>
    <r>
      <rPr>
        <sz val="11"/>
        <color theme="1"/>
        <rFont val="Calibri"/>
        <charset val="134"/>
      </rPr>
      <t xml:space="preserve"> is also a  strong predictor.  Smaller firms (NFA &lt; 150 M) have higher rate of default (~12%) while bigger firms have lower rate of default (~2%)</t>
    </r>
  </si>
  <si>
    <r>
      <rPr>
        <i/>
        <sz val="11"/>
        <color theme="1"/>
        <rFont val="Calibri"/>
        <charset val="134"/>
      </rPr>
      <t>F3_Sale Growths(%)</t>
    </r>
    <r>
      <rPr>
        <sz val="11"/>
        <color theme="1"/>
        <rFont val="Calibri"/>
        <charset val="134"/>
      </rPr>
      <t xml:space="preserve"> is massively overweighted.  Default rates are flat across all bins (7-13%), no monotone relationship, hence this feature should be dropped or minimized.</t>
    </r>
  </si>
  <si>
    <r>
      <rPr>
        <i/>
        <sz val="11"/>
        <color theme="1"/>
        <rFont val="Calibri"/>
        <charset val="134"/>
      </rPr>
      <t>C2_Debt rescheduling history</t>
    </r>
    <r>
      <rPr>
        <sz val="11"/>
        <color theme="1"/>
        <rFont val="Calibri"/>
        <charset val="134"/>
      </rPr>
      <t xml:space="preserve"> is also overweitght.  It has less classifying power than C1,  and nearly half of data is NA</t>
    </r>
  </si>
  <si>
    <t>Question 2</t>
  </si>
  <si>
    <t>Approach 1</t>
  </si>
  <si>
    <t>We will assess the rate of default in each bin of each feature to determine if the current linear method scoring in the scorecard is suitable</t>
  </si>
  <si>
    <t>Only select one option</t>
  </si>
  <si>
    <t>Bin</t>
  </si>
  <si>
    <t>Default Count.</t>
  </si>
  <si>
    <t>Total Count.</t>
  </si>
  <si>
    <t>Default Rate %</t>
  </si>
  <si>
    <t>Expert Scorecard score</t>
  </si>
  <si>
    <t>Grand Total</t>
  </si>
  <si>
    <t>F3 Sale Growths</t>
  </si>
  <si>
    <t xml:space="preserve">Contrary to current scorecard grading, higher sales growth is associated with greater default risk. </t>
  </si>
  <si>
    <t>Firms with growth above 30% default at 11.4%, compared to 6.8–6.9% for firms with modest positive growth (0–15%)</t>
  </si>
  <si>
    <t>Suggesting that aggressive growth may signal financial distress rather than stability.</t>
  </si>
  <si>
    <t xml:space="preserve">My recommendation is to cap binning the score (grading firms with up to 15% rate with highest score) </t>
  </si>
  <si>
    <t>F2 Net Profit Margin %</t>
  </si>
  <si>
    <t xml:space="preserve">The &gt;15% bin defaults at the same rate as loss-making firms, yet receives maximum score. </t>
  </si>
  <si>
    <t>The peak bin is moderate profitability (7.5–15%). Recommendation: cap max score at (7.5, 15) bin; reduce score for &gt;15%.</t>
  </si>
  <si>
    <t>F4 Debt to Equity Ratio</t>
  </si>
  <si>
    <t>The firms in (0, 0.5) bin have 20% of defaults, much higher than those in (0.5-1.5) bin</t>
  </si>
  <si>
    <t xml:space="preserve">This may be indicator of not well leverage cash flow. </t>
  </si>
  <si>
    <t>My recommendation is to shift max score to (0.5, 1) and restructure bin score around this empirical spot</t>
  </si>
  <si>
    <t>C3_Worst credit bureau delinquency record in the past 2 years</t>
  </si>
  <si>
    <t>Credit score not consistent among Credit bureau check not performed, No record found in credit bureau, and Not Available.</t>
  </si>
  <si>
    <t>While Credit bureau check not performed get penalised for -100 points,  the two other get neutral of 0 point</t>
  </si>
  <si>
    <t>However these 3 reasons seem indicate the same thing: incomplete data</t>
  </si>
  <si>
    <t>Recommendation: change scores of these 3 pins to ensure consistent treatment</t>
  </si>
  <si>
    <t>Approach 2</t>
  </si>
  <si>
    <t>Implement a logistic regression model on the dataset to determine the score of each bin of each feature</t>
  </si>
  <si>
    <t>(1) Cleaning data, replace NA with Not Available,  merge 9999999 and 9999998 to one bin</t>
  </si>
  <si>
    <t>(3) Replace WoE value to each bin</t>
  </si>
  <si>
    <t>(4) Fit to a linear regression model</t>
  </si>
  <si>
    <t>(5) Test and validate result on test data</t>
  </si>
  <si>
    <t>(6) Use the rate of default to calculate the scoring of each bin</t>
  </si>
  <si>
    <t>The methodology of step 4 and 5 will be presented in next parts</t>
  </si>
  <si>
    <t>In step 6, we scaling the PD to scoring for interpretable and linear scale</t>
  </si>
  <si>
    <t>Convert PD to Log-Odds,  this map (0, 1) to (-inf, inf)</t>
  </si>
  <si>
    <t>Scale the score</t>
  </si>
  <si>
    <t>We adopt the convention parameters of Base Score = 600,  PDO = 20,  Base Odds  = 50:1</t>
  </si>
  <si>
    <t>Factor = PDO/ ln(2) = 28.85</t>
  </si>
  <si>
    <t>Offset = Base Score - Factor * ln( Base Odd) = 487.1</t>
  </si>
  <si>
    <t>Please refer to ipynb file for detail calculation</t>
  </si>
  <si>
    <t>Question 3</t>
  </si>
  <si>
    <t xml:space="preserve">To determine the key predictor of defaults in a dataset, we must closely inspect the relations of each variable with the default history in order to determine the causal relationship of that variable to default probability. </t>
  </si>
  <si>
    <r>
      <rPr>
        <b/>
        <sz val="11"/>
        <color theme="1"/>
        <rFont val="Calibri"/>
        <charset val="134"/>
      </rPr>
      <t>Macroeconomic variables</t>
    </r>
    <r>
      <rPr>
        <sz val="11"/>
        <color theme="1"/>
        <rFont val="Calibri"/>
        <charset val="134"/>
      </rPr>
      <t xml:space="preserve"> usually effect the whole market,  and its effect need to be studied in at least a business cycle</t>
    </r>
  </si>
  <si>
    <t>We should perform correlation analysis on  the macroeconomic variables against the aggregated portfolio default rate overtime (as a whole market or separate by sector)</t>
  </si>
  <si>
    <t>It is also noted that macro effects on default are lagged,  hence it is necessary to test for multiple lag period</t>
  </si>
  <si>
    <r>
      <rPr>
        <b/>
        <sz val="11"/>
        <color theme="1"/>
        <rFont val="Calibri"/>
        <charset val="134"/>
      </rPr>
      <t xml:space="preserve">Financial details </t>
    </r>
    <r>
      <rPr>
        <sz val="11"/>
        <color theme="1"/>
        <rFont val="Calibri"/>
        <charset val="134"/>
      </rPr>
      <t>offer predictive power on the firm-level</t>
    </r>
  </si>
  <si>
    <t>The dataset provided only have financial details, and I suggest the following step to EDA this data</t>
  </si>
  <si>
    <t>I have performed this procedure, please refer to ipynb file for details</t>
  </si>
  <si>
    <t>(1) Data understanding and quality check</t>
  </si>
  <si>
    <t xml:space="preserve">Begin by profiling the dataset to establish a baseline understanding of its structure and integrity. </t>
  </si>
  <si>
    <t xml:space="preserve">This includes examining variable types (categorical vs. numerical), sample size, and class distribution of the target variable. </t>
  </si>
  <si>
    <t>Key checks include:</t>
  </si>
  <si>
    <t>Missing values: distinguish true nulls from sentinel values (e.g. 99999998, 99999999 indicating invalid calculations or negative equity)</t>
  </si>
  <si>
    <t>Distribution &amp; skewness:  identify heavily skewed features that may require log transformation or capping</t>
  </si>
  <si>
    <t>Concentration check: flag features where one bin contains the majority of customers, as these offer limited discrimination</t>
  </si>
  <si>
    <t>(2) Univariate Analysis</t>
  </si>
  <si>
    <t>Categorical features: compute default rate per bin to identify high-risk segments (e.g. "Restructured debt &lt; 6 months" defaults at 62.5%)</t>
  </si>
  <si>
    <t>Numerical features: boxplots split by Default Flag to visually assess separation between good and bad customers</t>
  </si>
  <si>
    <t>Concentration check:  flag features where one bin contains the majority of customers, as these offer limited discrimination</t>
  </si>
  <si>
    <t>(3) Bivariate Analysis</t>
  </si>
  <si>
    <t>Examine relationships between each feature and the target variable, as well as between features themselves:</t>
  </si>
  <si>
    <t>Numerical vs. Default — point-biserial correlation and KS statistic to measure separation between good and bad distributions</t>
  </si>
  <si>
    <t>Categorical vs. Default — chi-square test to assess statistical significance; features like F2 (Net Profit Margin) and F3 (Sale Growth) return p &gt; 0.05, indicating no significant relationship with defaul</t>
  </si>
  <si>
    <t>Multicollinearity — Pearson correlation matrix for numerical features; Cramér's V for categorical pairs to detect redundant features (e.g. C1 and C2 are likely correlated as restructuring and rescheduling tend to co-occur)</t>
  </si>
  <si>
    <t>Monotonicity check — plot default rate per bin to confirm scoring direction; non-monotone patterns (as seen in F3 and F4) flag features with unreliable risk ordering</t>
  </si>
  <si>
    <t>(4) WoE &amp; IV Analysis</t>
  </si>
  <si>
    <t>Calculate Weight of Evidence (WoE) and Information Value (IV) for each feature to quantitatively determine discriminatory power against the default target</t>
  </si>
  <si>
    <t>Question 4</t>
  </si>
  <si>
    <t>A logistic model (or logit model) is a statistical model that models the log-odds of an event as a linear combination of one or more independent variables.</t>
  </si>
  <si>
    <t>In regression analysis, logistic regression estimates the parameters of a logistic model</t>
  </si>
  <si>
    <t xml:space="preserve">A binary logistic regression can be used to model Probability of Default (PD), with output of 0 and 1 </t>
  </si>
  <si>
    <t>General formula of Linear Regression</t>
  </si>
  <si>
    <t>- Continuous, real-valued, and bounded within (0, 1)</t>
  </si>
  <si>
    <t>- Points far to the right approach 1, points far to the left approach 0</t>
  </si>
  <si>
    <t>- Smooth (differentiable everywhere) to enable optimization</t>
  </si>
  <si>
    <t>The most commonly used logistic function is the sigmoid</t>
  </si>
  <si>
    <t>Loss Function and Optimization</t>
  </si>
  <si>
    <t>Given a data point xᵢ with label yᵢ (0 or 1), the model estimates</t>
  </si>
  <si>
    <t>P(yᵢ = 1 | xᵢ; w) = f(wᵀxᵢ) = zᵢ</t>
  </si>
  <si>
    <t>P(yᵢ = 0 | xᵢ; w) = 1 − zᵢ</t>
  </si>
  <si>
    <t>These two expressions can be combined into one:</t>
  </si>
  <si>
    <t>The goal is to find w that maximizes the likelihood of observing the training data. This is called Maximum Likelihood Estimation (MLE)</t>
  </si>
  <si>
    <t>Assuming data points are independently:</t>
  </si>
  <si>
    <t>To avoid numerical issues (product of many small numbers) and simplify optimization, we take the negative log-likelihood as the loss function:</t>
  </si>
  <si>
    <t>This is known as the cross-entropy loss. It measures the "distance" between the predicted probability distribution and the true label distribution. Minimizing it is equivalent to maximizing likelihood.</t>
  </si>
  <si>
    <t>Weight update rule (SGD)</t>
  </si>
  <si>
    <t>We use simple Stochastic Gradient Descent to update weight</t>
  </si>
  <si>
    <t>w=w+η(yi​−zi​)xi​</t>
  </si>
  <si>
    <t>Inference</t>
  </si>
  <si>
    <t>After finding parameters for the model, we can predict the probability of event based on P(y=1|w)</t>
  </si>
  <si>
    <t>Rule of thump is predict class 1 if this probability greater than 0.5</t>
  </si>
  <si>
    <t>Assumption</t>
  </si>
  <si>
    <t>Binary or Ordinal Dependent Variable</t>
  </si>
  <si>
    <t>Logistic regression requires the dependent variable to be binary in nature, taking values of either 0 or 1</t>
  </si>
  <si>
    <t>Independence of Observations</t>
  </si>
  <si>
    <t>Each observation in the dataset must be independent of one another, meaning that the outcome of one observation should not influence or be related to another.</t>
  </si>
  <si>
    <t>Absence of Multicollinearity</t>
  </si>
  <si>
    <t>The independent variables should not be highly correlated with each other.</t>
  </si>
  <si>
    <t>When two or more variables convey the same information, the model becomes unstable, producing unreliable and inflated coefficients.</t>
  </si>
  <si>
    <t>Linearity of Independent Variables with the Log-Odds</t>
  </si>
  <si>
    <t>While logistic regression does not assume a linear relationship between the independent variables and the probability of default,</t>
  </si>
  <si>
    <t>it does assume that the independent variables are linearly related to the log-odds of the outcome.</t>
  </si>
  <si>
    <t>No Extreme Outliers</t>
  </si>
  <si>
    <t>Logistic regression is sensitive to extreme outliers in the independent variables, as these observations can disproportionately influence</t>
  </si>
  <si>
    <t>the estimated coefficients and distort the decision boundary.</t>
  </si>
  <si>
    <t>Sufficiently Large Sample Size</t>
  </si>
  <si>
    <t>Logistic regression requires a sufficiently large sample size to produce stable and reliable estimates</t>
  </si>
  <si>
    <t>Proceduce</t>
  </si>
  <si>
    <t>Steps involved to develop a logistic regression model include:</t>
  </si>
  <si>
    <t>(1) Data Preparation</t>
  </si>
  <si>
    <r>
      <rPr>
        <b/>
        <sz val="11"/>
        <color theme="1"/>
        <rFont val="Calibri"/>
        <charset val="134"/>
      </rPr>
      <t xml:space="preserve">(2) WoE Encoding. </t>
    </r>
    <r>
      <rPr>
        <sz val="11"/>
        <color theme="1"/>
        <rFont val="Calibri"/>
        <charset val="134"/>
      </rPr>
      <t>This satisfy the linear assumption,  puts all features on comparable scale,  and limiting the effect of extreme outlier</t>
    </r>
  </si>
  <si>
    <r>
      <rPr>
        <b/>
        <sz val="11"/>
        <color theme="1"/>
        <rFont val="Calibri"/>
        <charset val="134"/>
      </rPr>
      <t xml:space="preserve">(3) Split data to train/test data. </t>
    </r>
    <r>
      <rPr>
        <sz val="11"/>
        <color theme="1"/>
        <rFont val="Calibri"/>
        <charset val="134"/>
      </rPr>
      <t xml:space="preserve"> In this case, data should be stratified to ensure the ratio of default in both test and train data.</t>
    </r>
  </si>
  <si>
    <t>For very small samples, k-fold cross-validation is preferred over a single split as it uses all data for both training and validation</t>
  </si>
  <si>
    <r>
      <rPr>
        <b/>
        <sz val="11"/>
        <color theme="1"/>
        <rFont val="Calibri"/>
        <charset val="134"/>
      </rPr>
      <t xml:space="preserve">(4) Model training. </t>
    </r>
    <r>
      <rPr>
        <sz val="11"/>
        <color theme="1"/>
        <rFont val="Calibri"/>
        <charset val="134"/>
      </rPr>
      <t>most programming languages offer library to train logistic regression model</t>
    </r>
  </si>
  <si>
    <t>In this dataset, as common in default dataset,  it is imbalanced.</t>
  </si>
  <si>
    <t>An unweighted model minimises loss by predicting Non-event for every sample</t>
  </si>
  <si>
    <t>Therefore,  we need to reweight the loss function</t>
  </si>
  <si>
    <t>(5)Validate the model</t>
  </si>
  <si>
    <t>(6) Inference</t>
  </si>
  <si>
    <t>I have developed a logistic regression model on the dataset,  please refer to ipynb file for details</t>
  </si>
  <si>
    <t>Question 5</t>
  </si>
  <si>
    <t>Statistical Goodness-of-Fit</t>
  </si>
  <si>
    <t>Goodness-of-fit measures assess how well the model's estimated probabilities match the observed default outcomes in the data.</t>
  </si>
  <si>
    <t>A model may discriminate well between defaulters and non-defaulters but still produce poorly calibrated probability estimates,</t>
  </si>
  <si>
    <t>making goodness-of-fit testing an essential and separate evaluation step</t>
  </si>
  <si>
    <t>Hosmer-Lemeshow Test</t>
  </si>
  <si>
    <t>The Hosmer-Lemeshow test is the most widely used goodness-of-fit test for logistic regression.</t>
  </si>
  <si>
    <t>It works by grouping observations into deciles based on their predicted probability of default, then comparing the observed number of defaults in each group to the number expected under the model.</t>
  </si>
  <si>
    <t>The test statistic follows a chi-squared distribution, and a statistically significant result, typically indicated by a p-value.</t>
  </si>
  <si>
    <t>Discriminatory Power</t>
  </si>
  <si>
    <t>Discriminatory power measures how well the model separates defaulters from non-defaulters</t>
  </si>
  <si>
    <t>AUC-ROC (Area Under the Receiver Operating Characteristic Curve)</t>
  </si>
  <si>
    <t>The ROC curve plots the True Positive Rate (Recall) against the False Positive Rate at every possible classification threshold</t>
  </si>
  <si>
    <t>The area under this curve, known as the AUC, summarizes the model's overall discriminatory ability in a single number</t>
  </si>
  <si>
    <t>An AUC of 0.5 represents a model with no discriminatory power equivalent to random guessing, while an AUC of 1.0 represents perfect discrimination.</t>
  </si>
  <si>
    <t>Gini Coefficient</t>
  </si>
  <si>
    <t>It rescales the AUC to a range of 0 to 1, where 0 represents no discrimination and 1 represents perfect discrimination</t>
  </si>
  <si>
    <t>Gini = 2AUC - 1</t>
  </si>
  <si>
    <t>Kolmogorov-Smirnov (KS) Statistic</t>
  </si>
  <si>
    <t>The KS statistic measures the maximum separation between the cumulative distribution of predicted probabilities for defaulters and non-defaulters.</t>
  </si>
  <si>
    <t>It identifies the single threshold at which the model best separates the two populations and is widely used in credit scoring validation.</t>
  </si>
  <si>
    <t>Forecasting Accuracy</t>
  </si>
  <si>
    <t>Forecasting accuracy measures how accurately the model classifies individual borrowers as defaulters or non-defaulters at a specific decision threshold,</t>
  </si>
  <si>
    <t>and how well the predicted probabilities correspond to observed default rates</t>
  </si>
  <si>
    <t>Confusion Matrix</t>
  </si>
  <si>
    <t>It summarizes the counts of correct and incorrect predictions across both classes</t>
  </si>
  <si>
    <t>Sensitivity:Proportion of actual defaults correctly identified. It is the most important metric in default model as missing defaults is costly</t>
  </si>
  <si>
    <t>Precision: Proportion of predicted defaults that are real</t>
  </si>
  <si>
    <t>Accuracy: Overall correct predictions. In case of imbalance dataset,  it can be misleading</t>
  </si>
  <si>
    <t>F1 score:  is a single metric that combines both Precision and Recall into one number by taking their harmonic mean.</t>
  </si>
  <si>
    <t>It provides a balanced measure of a model's performance that accounts for both the ability to correctly identify positive cases and the ability to avoid false alarms simultaneously.</t>
  </si>
  <si>
    <t>I have perform valuation on the output of the logistic regression model on the dataset,  please refer to ipynb file for details</t>
  </si>
  <si>
    <t>Default Count</t>
  </si>
  <si>
    <t>Total Count</t>
  </si>
  <si>
    <t>Default Rate</t>
  </si>
  <si>
    <t>Scorecard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</si>
</sst>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.00_);_(* \(#,##0.00\);_(* &quot;-&quot;??_);_(@_)"/>
  </numFmts>
  <fonts count="2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i/>
      <sz val="11"/>
      <color theme="1"/>
      <name val="Calibri"/>
      <charset val="134"/>
    </font>
    <font>
      <sz val="11"/>
      <color theme="0"/>
      <name val="Calibri"/>
      <charset val="134"/>
    </font>
    <font>
      <b/>
      <sz val="11"/>
      <color theme="0"/>
      <name val="Calibri"/>
      <charset val="134"/>
    </font>
    <font>
      <u/>
      <sz val="11"/>
      <color theme="1"/>
      <name val="Calibri"/>
      <charset val="134"/>
    </font>
    <font>
      <sz val="10"/>
      <color theme="1"/>
      <name val="Calibri"/>
      <charset val="134"/>
    </font>
    <font>
      <sz val="9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"/>
      <charset val="22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4D5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>
      <left style="thin">
        <color theme="2" tint="-0.0999786370433668"/>
      </left>
      <right/>
      <top style="thin">
        <color theme="2" tint="-0.0999786370433668"/>
      </top>
      <bottom style="thin">
        <color theme="2" tint="-0.0999786370433668"/>
      </bottom>
      <diagonal/>
    </border>
    <border>
      <left/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/>
      <right/>
      <top style="thin">
        <color theme="2" tint="-0.0999786370433668"/>
      </top>
      <bottom style="thin">
        <color theme="2" tint="-0.099978637043366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8" fillId="0" borderId="0"/>
    <xf numFmtId="9" fontId="28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/>
    <xf numFmtId="0" fontId="1" fillId="2" borderId="0" xfId="0" applyFont="1" applyFill="1"/>
    <xf numFmtId="0" fontId="1" fillId="2" borderId="2" xfId="0" applyFont="1" applyFill="1" applyBorder="1"/>
    <xf numFmtId="0" fontId="0" fillId="2" borderId="2" xfId="0" applyFill="1" applyBorder="1"/>
    <xf numFmtId="0" fontId="2" fillId="2" borderId="0" xfId="0" applyFont="1" applyFill="1"/>
    <xf numFmtId="0" fontId="0" fillId="2" borderId="0" xfId="0" applyFont="1" applyFill="1"/>
    <xf numFmtId="0" fontId="0" fillId="2" borderId="2" xfId="0" applyNumberFormat="1" applyFill="1" applyBorder="1"/>
    <xf numFmtId="0" fontId="1" fillId="2" borderId="2" xfId="0" applyNumberFormat="1" applyFont="1" applyFill="1" applyBorder="1"/>
    <xf numFmtId="0" fontId="2" fillId="0" borderId="0" xfId="0" applyFont="1"/>
    <xf numFmtId="0" fontId="3" fillId="3" borderId="0" xfId="0" applyFont="1" applyFill="1"/>
    <xf numFmtId="0" fontId="0" fillId="0" borderId="0" xfId="0" applyFill="1"/>
    <xf numFmtId="0" fontId="0" fillId="0" borderId="0" xfId="0" applyFont="1"/>
    <xf numFmtId="0" fontId="4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5" fillId="0" borderId="0" xfId="0" applyFont="1"/>
    <xf numFmtId="0" fontId="0" fillId="0" borderId="0" xfId="0" applyFont="1" applyFill="1" applyAlignment="1">
      <alignment vertic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/>
    <xf numFmtId="9" fontId="0" fillId="4" borderId="1" xfId="0" applyNumberFormat="1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6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Font="1" applyFill="1" applyBorder="1"/>
    <xf numFmtId="0" fontId="7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0" fillId="6" borderId="0" xfId="0" applyFill="1"/>
    <xf numFmtId="0" fontId="1" fillId="0" borderId="0" xfId="0" applyFont="1" applyFill="1" applyAlignment="1">
      <alignment vertical="center"/>
    </xf>
    <xf numFmtId="0" fontId="0" fillId="0" borderId="0" xfId="0" applyFont="1" applyAlignment="1">
      <alignment horizontal="left" vertical="top" wrapText="1"/>
    </xf>
    <xf numFmtId="0" fontId="0" fillId="4" borderId="3" xfId="0" applyFont="1" applyFill="1" applyBorder="1" applyAlignment="1">
      <alignment horizontal="left" vertical="top"/>
    </xf>
    <xf numFmtId="0" fontId="0" fillId="4" borderId="5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0" fillId="4" borderId="4" xfId="0" applyFont="1" applyFill="1" applyBorder="1" applyAlignment="1">
      <alignment horizontal="left" vertical="top"/>
    </xf>
    <xf numFmtId="0" fontId="3" fillId="0" borderId="0" xfId="0" applyFont="1" applyFill="1"/>
    <xf numFmtId="0" fontId="4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0" fillId="7" borderId="1" xfId="0" applyFill="1" applyBorder="1" applyAlignment="1">
      <alignment horizontal="center" vertical="center"/>
    </xf>
    <xf numFmtId="0" fontId="8" fillId="7" borderId="1" xfId="0" applyFont="1" applyFill="1" applyBorder="1"/>
    <xf numFmtId="0" fontId="0" fillId="7" borderId="1" xfId="0" applyFill="1" applyBorder="1"/>
    <xf numFmtId="0" fontId="0" fillId="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0" borderId="1" xfId="0" applyFill="1" applyBorder="1"/>
    <xf numFmtId="0" fontId="0" fillId="0" borderId="0" xfId="0" applyFont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2" fillId="2" borderId="0" xfId="0" applyFont="1" applyFill="1" quotePrefix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Percent 30" xfId="51"/>
  </cellStyles>
  <tableStyles count="0" defaultTableStyle="TableStyleMedium2" defaultPivotStyle="PivotStyleLight16"/>
  <colors>
    <mruColors>
      <color rgb="00004D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6.xml"/><Relationship Id="rId14" Type="http://schemas.openxmlformats.org/officeDocument/2006/relationships/externalLink" Target="externalLinks/externalLink5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667385</xdr:colOff>
      <xdr:row>6</xdr:row>
      <xdr:rowOff>207010</xdr:rowOff>
    </xdr:from>
    <xdr:ext cx="2260600" cy="381635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 Box 2"/>
            <xdr:cNvSpPr txBox="1"/>
          </xdr:nvSpPr>
          <xdr:spPr>
            <a:xfrm>
              <a:off x="2596515" y="1487170"/>
              <a:ext cx="2260600" cy="3816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vi-VN" altLang="en-US" sz="1100">
                  <a:latin typeface="DejaVu Math TeX Gyre" panose="02000503000000000000" charset="0"/>
                  <a:cs typeface="DejaVu Math TeX Gyre" panose="02000503000000000000" charset="0"/>
                </a:rPr>
                <a:t>WoE_i = ln(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</m:ctrlPr>
                    </m:fPr>
                    <m:num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% 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𝐷𝑖𝑠𝑡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. 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𝐸𝑣𝑒𝑛𝑡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_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𝑖</m:t>
                      </m:r>
                    </m:num>
                    <m:den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% 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𝐷𝑖𝑠𝑡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. 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𝑁𝑜𝑛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−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𝑒𝑣𝑒𝑛𝑡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_</m:t>
                      </m:r>
                      <m:r>
                        <a:rPr lang="en-US" sz="1100" i="1">
                          <a:latin typeface="DejaVu Math TeX Gyre" panose="02000503000000000000" charset="0"/>
                          <a:cs typeface="DejaVu Math TeX Gyre" panose="02000503000000000000" charset="0"/>
                        </a:rPr>
                        <m:t>𝑖</m:t>
                      </m:r>
                    </m:den>
                  </m:f>
                </m:oMath>
              </a14:m>
              <a:r>
                <a:rPr lang="vi-VN" altLang="en-US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endParaRPr lang="vi-VN" altLang="en-US" sz="1100">
                <a:latin typeface="DejaVu Math TeX Gyre" panose="02000503000000000000" charset="0"/>
                <a:cs typeface="DejaVu Math TeX Gyre" panose="02000503000000000000" charset="0"/>
              </a:endParaRPr>
            </a:p>
          </xdr:txBody>
        </xdr:sp>
      </mc:Choice>
      <mc:Fallback>
        <xdr:sp>
          <xdr:nvSpPr>
            <xdr:cNvPr id="3" name="Text Box 2"/>
            <xdr:cNvSpPr txBox="1"/>
          </xdr:nvSpPr>
          <xdr:spPr>
            <a:xfrm>
              <a:off x="2596515" y="1487170"/>
              <a:ext cx="2260600" cy="3816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vi-VN" altLang="en-US" sz="1100">
                  <a:latin typeface="DejaVu Math TeX Gyre" panose="02000503000000000000" charset="0"/>
                  <a:cs typeface="DejaVu Math TeX Gyre" panose="02000503000000000000" charset="0"/>
                </a:rPr>
                <a:t>WoE_i = ln(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%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𝐷𝑖𝑠𝑡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.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𝐸𝑣𝑒𝑛𝑡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𝑖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/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%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𝐷𝑖𝑠𝑡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.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𝑁𝑜𝑛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𝑒𝑣𝑒𝑛𝑡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𝑖</a:t>
              </a:r>
              <a:r>
                <a:rPr lang="vi-VN" altLang="en-US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endParaRPr lang="vi-VN" altLang="en-US" sz="1100">
                <a:latin typeface="DejaVu Math TeX Gyre" panose="02000503000000000000" charset="0"/>
                <a:cs typeface="DejaVu Math TeX Gyre" panose="02000503000000000000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332740</xdr:colOff>
      <xdr:row>10</xdr:row>
      <xdr:rowOff>122555</xdr:rowOff>
    </xdr:from>
    <xdr:ext cx="4208145" cy="478790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 Box 3"/>
            <xdr:cNvSpPr txBox="1"/>
          </xdr:nvSpPr>
          <xdr:spPr>
            <a:xfrm>
              <a:off x="2261870" y="2256155"/>
              <a:ext cx="4208145" cy="4787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limLoc m:val="undOvr"/>
                        <m:ctrlP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naryPr>
                      <m:sub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𝑖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=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</m:sub>
                      <m:sup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𝑛</m:t>
                        </m:r>
                      </m:sup>
                      <m:e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(%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𝐷𝑖𝑠𝑡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. 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𝐸𝑣𝑒𝑛𝑡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_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𝑖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 − 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𝐷𝑖𝑠𝑡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. 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𝑁𝑜𝑛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−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𝑒𝑣𝑒𝑛𝑡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_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𝑖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) ∗ 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𝑊𝑜𝐸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_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𝑖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 Box 3"/>
            <xdr:cNvSpPr txBox="1"/>
          </xdr:nvSpPr>
          <xdr:spPr>
            <a:xfrm>
              <a:off x="2261870" y="2256155"/>
              <a:ext cx="4208145" cy="4787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∑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𝑖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(%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𝐷𝑖𝑠𝑡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.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𝐸𝑣𝑒𝑛𝑡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𝑖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−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𝐷𝑖𝑠𝑡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.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𝑁𝑜𝑛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𝑒𝑣𝑒𝑛𝑡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𝑖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) ∗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𝑊𝑜𝐸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𝑖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3</xdr:col>
      <xdr:colOff>0</xdr:colOff>
      <xdr:row>35</xdr:row>
      <xdr:rowOff>0</xdr:rowOff>
    </xdr:from>
    <xdr:to>
      <xdr:col>5</xdr:col>
      <xdr:colOff>645795</xdr:colOff>
      <xdr:row>51</xdr:row>
      <xdr:rowOff>173990</xdr:rowOff>
    </xdr:to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9130" y="7467600"/>
          <a:ext cx="8306435" cy="358775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24765</xdr:colOff>
      <xdr:row>125</xdr:row>
      <xdr:rowOff>41910</xdr:rowOff>
    </xdr:from>
    <xdr:ext cx="2172970" cy="436880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 Box 11"/>
            <xdr:cNvSpPr txBox="1"/>
          </xdr:nvSpPr>
          <xdr:spPr>
            <a:xfrm>
              <a:off x="1953895" y="24375110"/>
              <a:ext cx="2172970" cy="4368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𝐿𝑜𝑔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−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𝑂𝑑𝑑𝑠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 = 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𝑙𝑛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(</m:t>
                    </m:r>
                    <m:f>
                      <m:fPr>
                        <m:ctrlP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𝑃𝐷</m:t>
                        </m:r>
                      </m:num>
                      <m:den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−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𝑃𝐷</m:t>
                        </m:r>
                      </m:den>
                    </m:f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2" name="Text Box 11"/>
            <xdr:cNvSpPr txBox="1"/>
          </xdr:nvSpPr>
          <xdr:spPr>
            <a:xfrm>
              <a:off x="1953895" y="24375110"/>
              <a:ext cx="2172970" cy="4368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𝐿𝑜𝑔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𝑂𝑑𝑑𝑠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=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𝑙𝑛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𝑃𝐷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/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𝑃𝐷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1115060</xdr:colOff>
      <xdr:row>127</xdr:row>
      <xdr:rowOff>186055</xdr:rowOff>
    </xdr:from>
    <xdr:ext cx="3528060" cy="288290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 Box 12"/>
            <xdr:cNvSpPr txBox="1"/>
          </xdr:nvSpPr>
          <xdr:spPr>
            <a:xfrm>
              <a:off x="3044190" y="24945975"/>
              <a:ext cx="3528060" cy="288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𝑆𝑐𝑜𝑟𝑒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 = 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𝑂𝑓𝑓𝑠𝑒𝑡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 + (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𝐹𝑎𝑐𝑡𝑜𝑟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 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𝑥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 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𝐿𝑜𝑔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−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𝑂𝑑𝑑𝑠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3" name="Text Box 12"/>
            <xdr:cNvSpPr txBox="1"/>
          </xdr:nvSpPr>
          <xdr:spPr>
            <a:xfrm>
              <a:off x="3044190" y="24945975"/>
              <a:ext cx="3528060" cy="2882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𝑆𝑐𝑜𝑟𝑒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=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𝑂𝑓𝑓𝑠𝑒𝑡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+ (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𝐹𝑎𝑐𝑡𝑜𝑟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𝐿𝑜𝑔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𝑂𝑑𝑑𝑠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28575</xdr:colOff>
      <xdr:row>171</xdr:row>
      <xdr:rowOff>27940</xdr:rowOff>
    </xdr:from>
    <xdr:ext cx="1309370" cy="275590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 Box 13"/>
            <xdr:cNvSpPr txBox="1"/>
          </xdr:nvSpPr>
          <xdr:spPr>
            <a:xfrm>
              <a:off x="1957705" y="34180780"/>
              <a:ext cx="1309370" cy="2755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𝑓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(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𝑥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) =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𝜃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(</m:t>
                    </m:r>
                    <m:sSup>
                      <m:sSupPr>
                        <m:ctrlP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𝑤</m:t>
                        </m:r>
                      </m:e>
                      <m:sup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𝑇</m:t>
                        </m:r>
                      </m:sup>
                    </m:sSup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𝑥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) 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4" name="Text Box 13"/>
            <xdr:cNvSpPr txBox="1"/>
          </xdr:nvSpPr>
          <xdr:spPr>
            <a:xfrm>
              <a:off x="1957705" y="34180780"/>
              <a:ext cx="1309370" cy="2755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𝑓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) =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𝜃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𝑤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𝑇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)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13335</xdr:colOff>
      <xdr:row>172</xdr:row>
      <xdr:rowOff>132715</xdr:rowOff>
    </xdr:from>
    <xdr:ext cx="3536950" cy="275590"/>
    <mc:AlternateContent xmlns:mc="http://schemas.openxmlformats.org/markup-compatibility/2006">
      <mc:Choice xmlns:a14="http://schemas.microsoft.com/office/drawing/2010/main" Requires="a14">
        <xdr:sp>
          <xdr:nvSpPr>
            <xdr:cNvPr id="15" name="Text Box 14"/>
            <xdr:cNvSpPr txBox="1"/>
          </xdr:nvSpPr>
          <xdr:spPr>
            <a:xfrm>
              <a:off x="1942465" y="34498915"/>
              <a:ext cx="3536950" cy="2755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r>
                    <a:rPr lang="en-US" sz="1100" i="1">
                      <a:latin typeface="DejaVu Math TeX Gyre" panose="02000503000000000000" charset="0"/>
                      <a:cs typeface="DejaVu Math TeX Gyre" panose="02000503000000000000" charset="0"/>
                    </a:rPr>
                    <m:t>𝜃</m:t>
                  </m:r>
                </m:oMath>
              </a14:m>
              <a:r>
                <a:rPr lang="vi-VN" altLang="en-US" sz="1100"/>
                <a:t> is an activation function that must satisfy:</a:t>
              </a:r>
              <a:endParaRPr lang="vi-VN" altLang="en-US" sz="1100"/>
            </a:p>
          </xdr:txBody>
        </xdr:sp>
      </mc:Choice>
      <mc:Fallback>
        <xdr:sp>
          <xdr:nvSpPr>
            <xdr:cNvPr id="15" name="Text Box 14"/>
            <xdr:cNvSpPr txBox="1"/>
          </xdr:nvSpPr>
          <xdr:spPr>
            <a:xfrm>
              <a:off x="1942465" y="34498915"/>
              <a:ext cx="3536950" cy="2755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𝜃</a:t>
              </a:r>
              <a:r>
                <a:rPr lang="vi-VN" altLang="en-US" sz="1100"/>
                <a:t> is an activation function that must satisfy:</a:t>
              </a:r>
              <a:endParaRPr lang="vi-VN" altLang="en-US" sz="1100"/>
            </a:p>
          </xdr:txBody>
        </xdr:sp>
      </mc:Fallback>
    </mc:AlternateContent>
    <xdr:clientData/>
  </xdr:oneCellAnchor>
  <xdr:oneCellAnchor>
    <xdr:from>
      <xdr:col>3</xdr:col>
      <xdr:colOff>3691890</xdr:colOff>
      <xdr:row>176</xdr:row>
      <xdr:rowOff>60325</xdr:rowOff>
    </xdr:from>
    <xdr:ext cx="1094105" cy="444500"/>
    <mc:AlternateContent xmlns:mc="http://schemas.openxmlformats.org/markup-compatibility/2006">
      <mc:Choice xmlns:a14="http://schemas.microsoft.com/office/drawing/2010/main" Requires="a14">
        <xdr:sp>
          <xdr:nvSpPr>
            <xdr:cNvPr id="16" name="Text Box 15"/>
            <xdr:cNvSpPr txBox="1"/>
          </xdr:nvSpPr>
          <xdr:spPr>
            <a:xfrm>
              <a:off x="5621020" y="35279965"/>
              <a:ext cx="1094105" cy="4445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𝜎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 = </m:t>
                    </m:r>
                    <m:f>
                      <m:fPr>
                        <m:ctrlP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</m:num>
                      <m:den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−</m:t>
                            </m:r>
                            <m:r>
                              <a:rPr lang="en-US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𝑠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6" name="Text Box 15"/>
            <xdr:cNvSpPr txBox="1"/>
          </xdr:nvSpPr>
          <xdr:spPr>
            <a:xfrm>
              <a:off x="5621020" y="35279965"/>
              <a:ext cx="1094105" cy="44450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𝜎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=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/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+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3394075</xdr:colOff>
      <xdr:row>182</xdr:row>
      <xdr:rowOff>163195</xdr:rowOff>
    </xdr:from>
    <xdr:ext cx="2989580" cy="276860"/>
    <mc:AlternateContent xmlns:mc="http://schemas.openxmlformats.org/markup-compatibility/2006">
      <mc:Choice xmlns:a14="http://schemas.microsoft.com/office/drawing/2010/main" Requires="a14">
        <xdr:sp>
          <xdr:nvSpPr>
            <xdr:cNvPr id="17" name="Text Box 16"/>
            <xdr:cNvSpPr txBox="1"/>
          </xdr:nvSpPr>
          <xdr:spPr>
            <a:xfrm>
              <a:off x="5323205" y="36662995"/>
              <a:ext cx="2989580" cy="27686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𝑃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(</m:t>
                    </m:r>
                    <m:r>
                      <a:rPr lang="en-US" sz="1100">
                        <a:latin typeface="DejaVu Math TeX Gyre" panose="02000503000000000000" charset="0"/>
                      </a:rPr>
                      <m:t>𝑦</m:t>
                    </m:r>
                    <m:r>
                      <a:rPr lang="en-US" sz="1100">
                        <a:latin typeface="DejaVu Math TeX Gyre" panose="02000503000000000000" charset="0"/>
                      </a:rPr>
                      <m:t>ᵢ |</m:t>
                    </m:r>
                    <m:r>
                      <a:rPr lang="vi-VN" altLang="en-US" sz="1100">
                        <a:latin typeface="DejaVu Math TeX Gyre" panose="02000503000000000000" charset="0"/>
                      </a:rPr>
                      <m:t>𝑥</m:t>
                    </m:r>
                    <m:r>
                      <a:rPr lang="vi-VN" altLang="en-US" sz="1100">
                        <a:latin typeface="DejaVu Math TeX Gyre" panose="02000503000000000000" charset="0"/>
                      </a:rPr>
                      <m:t>ᵢ; </m:t>
                    </m:r>
                    <m:r>
                      <a:rPr lang="vi-VN" altLang="en-US" sz="1100">
                        <a:latin typeface="DejaVu Math TeX Gyre" panose="02000503000000000000" charset="0"/>
                      </a:rPr>
                      <m:t>𝑤</m:t>
                    </m:r>
                    <m:r>
                      <a:rPr lang="en-US" altLang="vi-VN" sz="1100">
                        <a:latin typeface="DejaVu Math TeX Gyre" panose="02000503000000000000" charset="0"/>
                      </a:rPr>
                      <m:t>) = </m:t>
                    </m:r>
                    <m:sSup>
                      <m:sSupPr>
                        <m:ctrlP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sSupPr>
                      <m:e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𝑧</m:t>
                        </m:r>
                      </m:e>
                      <m:sup>
                        <m:r>
                          <a:rPr lang="en-US" sz="1100">
                            <a:latin typeface="DejaVu Math TeX Gyre" panose="02000503000000000000" charset="0"/>
                          </a:rPr>
                          <m:t>𝑦</m:t>
                        </m:r>
                        <m:r>
                          <a:rPr lang="en-US" sz="1100">
                            <a:latin typeface="DejaVu Math TeX Gyre" panose="02000503000000000000" charset="0"/>
                          </a:rPr>
                          <m:t>ᵢ</m:t>
                        </m:r>
                      </m:sup>
                    </m:sSup>
                    <m:r>
                      <a:rPr lang="en-US" altLang="vi-VN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 </m:t>
                    </m:r>
                    <m:sSup>
                      <m:sSupPr>
                        <m:ctrlP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sSupPr>
                      <m:e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(</m:t>
                        </m:r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−</m:t>
                        </m:r>
                        <m:r>
                          <a:rPr lang="vi-VN" altLang="en-US" sz="1100">
                            <a:latin typeface="DejaVu Math TeX Gyre" panose="02000503000000000000" charset="0"/>
                          </a:rPr>
                          <m:t>𝑧</m:t>
                        </m:r>
                        <m:r>
                          <a:rPr lang="vi-VN" altLang="en-US" sz="1100">
                            <a:latin typeface="DejaVu Math TeX Gyre" panose="02000503000000000000" charset="0"/>
                          </a:rPr>
                          <m:t>ᵢ</m:t>
                        </m:r>
                        <m:r>
                          <a:rPr lang="en-US" altLang="vi-VN" sz="1100">
                            <a:latin typeface="DejaVu Math TeX Gyre" panose="02000503000000000000" charset="0"/>
                          </a:rPr>
                          <m:t>)</m:t>
                        </m:r>
                      </m:e>
                      <m:sup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−</m:t>
                        </m:r>
                        <m:r>
                          <a:rPr lang="en-US" sz="1100">
                            <a:latin typeface="DejaVu Math TeX Gyre" panose="02000503000000000000" charset="0"/>
                          </a:rPr>
                          <m:t>𝑦</m:t>
                        </m:r>
                        <m:r>
                          <a:rPr lang="en-US" sz="1100">
                            <a:latin typeface="DejaVu Math TeX Gyre" panose="02000503000000000000" charset="0"/>
                          </a:rPr>
                          <m:t>ᵢ</m:t>
                        </m:r>
                      </m:sup>
                    </m:sSup>
                  </m:oMath>
                </m:oMathPara>
              </a14:m>
              <a:endParaRPr lang="vi-VN" altLang="en-US" sz="1100"/>
            </a:p>
          </xdr:txBody>
        </xdr:sp>
      </mc:Choice>
      <mc:Fallback>
        <xdr:sp>
          <xdr:nvSpPr>
            <xdr:cNvPr id="17" name="Text Box 16"/>
            <xdr:cNvSpPr txBox="1"/>
          </xdr:nvSpPr>
          <xdr:spPr>
            <a:xfrm>
              <a:off x="5323205" y="36662995"/>
              <a:ext cx="2989580" cy="27686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/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𝑃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sz="1100">
                  <a:latin typeface="DejaVu Math TeX Gyre" panose="02000503000000000000" charset="0"/>
                </a:rPr>
                <a:t>𝑦</a:t>
              </a:r>
              <a:r>
                <a:rPr lang="en-US" sz="1100">
                  <a:latin typeface="DejaVu Math TeX Gyre" panose="02000503000000000000" charset="0"/>
                </a:rPr>
                <a:t>ᵢ |</a:t>
              </a:r>
              <a:r>
                <a:rPr lang="vi-VN" altLang="en-US" sz="1100">
                  <a:latin typeface="DejaVu Math TeX Gyre" panose="02000503000000000000" charset="0"/>
                </a:rPr>
                <a:t>𝑥</a:t>
              </a:r>
              <a:r>
                <a:rPr lang="vi-VN" altLang="en-US" sz="1100">
                  <a:latin typeface="DejaVu Math TeX Gyre" panose="02000503000000000000" charset="0"/>
                </a:rPr>
                <a:t>ᵢ; </a:t>
              </a:r>
              <a:r>
                <a:rPr lang="vi-VN" altLang="en-US" sz="1100">
                  <a:latin typeface="DejaVu Math TeX Gyre" panose="02000503000000000000" charset="0"/>
                </a:rPr>
                <a:t>𝑤</a:t>
              </a:r>
              <a:r>
                <a:rPr lang="en-US" altLang="vi-VN" sz="1100">
                  <a:latin typeface="DejaVu Math TeX Gyre" panose="02000503000000000000" charset="0"/>
                </a:rPr>
                <a:t>) = 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𝑧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sz="1100">
                  <a:latin typeface="DejaVu Math TeX Gyre" panose="02000503000000000000" charset="0"/>
                </a:rPr>
                <a:t>𝑦</a:t>
              </a:r>
              <a:r>
                <a:rPr lang="en-US" sz="1100">
                  <a:latin typeface="DejaVu Math TeX Gyre" panose="02000503000000000000" charset="0"/>
                </a:rPr>
                <a:t>ᵢ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 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vi-VN" altLang="en-US" sz="1100">
                  <a:latin typeface="DejaVu Math TeX Gyre" panose="02000503000000000000" charset="0"/>
                </a:rPr>
                <a:t>𝑧</a:t>
              </a:r>
              <a:r>
                <a:rPr lang="vi-VN" altLang="en-US" sz="1100">
                  <a:latin typeface="DejaVu Math TeX Gyre" panose="02000503000000000000" charset="0"/>
                </a:rPr>
                <a:t>ᵢ</a:t>
              </a:r>
              <a:r>
                <a:rPr lang="en-US" altLang="vi-VN" sz="1100">
                  <a:latin typeface="DejaVu Math TeX Gyre" panose="02000503000000000000" charset="0"/>
                </a:rPr>
                <a:t>)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</a:rPr>
                <a:t>𝑦</a:t>
              </a:r>
              <a:r>
                <a:rPr lang="en-US" sz="1100">
                  <a:latin typeface="DejaVu Math TeX Gyre" panose="02000503000000000000" charset="0"/>
                </a:rPr>
                <a:t>ᵢ</a:t>
              </a:r>
              <a:endParaRPr lang="vi-VN" altLang="en-US" sz="1100"/>
            </a:p>
          </xdr:txBody>
        </xdr:sp>
      </mc:Fallback>
    </mc:AlternateContent>
    <xdr:clientData/>
  </xdr:oneCellAnchor>
  <xdr:oneCellAnchor>
    <xdr:from>
      <xdr:col>3</xdr:col>
      <xdr:colOff>26035</xdr:colOff>
      <xdr:row>187</xdr:row>
      <xdr:rowOff>212725</xdr:rowOff>
    </xdr:from>
    <xdr:ext cx="3170555" cy="575945"/>
    <mc:AlternateContent xmlns:mc="http://schemas.openxmlformats.org/markup-compatibility/2006">
      <mc:Choice xmlns:a14="http://schemas.microsoft.com/office/drawing/2010/main" Requires="a14">
        <xdr:sp>
          <xdr:nvSpPr>
            <xdr:cNvPr id="18" name="Text Box 17"/>
            <xdr:cNvSpPr txBox="1"/>
          </xdr:nvSpPr>
          <xdr:spPr>
            <a:xfrm>
              <a:off x="1955165" y="37779325"/>
              <a:ext cx="3170555" cy="5759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𝑃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(</m:t>
                    </m:r>
                    <m:r>
                      <a:rPr lang="en-US" sz="1100">
                        <a:latin typeface="DejaVu Math TeX Gyre" panose="02000503000000000000" charset="0"/>
                      </a:rPr>
                      <m:t>𝑦</m:t>
                    </m:r>
                    <m:r>
                      <a:rPr lang="en-US" sz="1100">
                        <a:latin typeface="DejaVu Math TeX Gyre" panose="02000503000000000000" charset="0"/>
                      </a:rPr>
                      <m:t>ᵢ |</m:t>
                    </m:r>
                    <m:r>
                      <a:rPr lang="vi-VN" altLang="en-US" sz="1100">
                        <a:latin typeface="DejaVu Math TeX Gyre" panose="02000503000000000000" charset="0"/>
                      </a:rPr>
                      <m:t>𝑥</m:t>
                    </m:r>
                    <m:r>
                      <a:rPr lang="vi-VN" altLang="en-US" sz="1100">
                        <a:latin typeface="DejaVu Math TeX Gyre" panose="02000503000000000000" charset="0"/>
                      </a:rPr>
                      <m:t>ᵢ; </m:t>
                    </m:r>
                    <m:r>
                      <a:rPr lang="vi-VN" altLang="en-US" sz="1100">
                        <a:latin typeface="DejaVu Math TeX Gyre" panose="02000503000000000000" charset="0"/>
                      </a:rPr>
                      <m:t>𝑤</m:t>
                    </m:r>
                    <m:r>
                      <a:rPr lang="en-US" altLang="vi-VN" sz="1100">
                        <a:latin typeface="DejaVu Math TeX Gyre" panose="02000503000000000000" charset="0"/>
                      </a:rPr>
                      <m:t>) = </m:t>
                    </m:r>
                    <m:nary>
                      <m:naryPr>
                        <m:chr m:val="∏"/>
                        <m:limLoc m:val="undOvr"/>
                        <m:ctrlP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naryPr>
                      <m:sub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𝑖</m:t>
                        </m:r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=</m:t>
                        </m:r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</m:sub>
                      <m:sup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𝑁</m:t>
                        </m:r>
                      </m:sup>
                      <m:e>
                        <m:sSup>
                          <m:sSupPr>
                            <m:ctrlPr>
                              <a:rPr lang="en-US" altLang="vi-V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sSupPr>
                          <m:e>
                            <m:r>
                              <a:rPr lang="en-US" altLang="vi-V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𝑧</m:t>
                            </m:r>
                          </m:e>
                          <m:sup>
                            <m:r>
                              <a:rPr lang="en-US" sz="1100">
                                <a:latin typeface="DejaVu Math TeX Gyre" panose="02000503000000000000" charset="0"/>
                              </a:rPr>
                              <m:t>𝑦</m:t>
                            </m:r>
                            <m:r>
                              <a:rPr lang="en-US" sz="1100">
                                <a:latin typeface="DejaVu Math TeX Gyre" panose="02000503000000000000" charset="0"/>
                              </a:rPr>
                              <m:t>ᵢ</m:t>
                            </m:r>
                          </m:sup>
                        </m:sSup>
                        <m:r>
                          <a:rPr lang="en-US" altLang="vi-V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 </m:t>
                        </m:r>
                        <m:sSup>
                          <m:sSupPr>
                            <m:ctrlPr>
                              <a:rPr lang="en-US" altLang="vi-V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sSupPr>
                          <m:e>
                            <m:r>
                              <a:rPr lang="en-US" altLang="vi-V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(</m:t>
                            </m:r>
                            <m:r>
                              <a:rPr lang="en-US" altLang="vi-V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1</m:t>
                            </m:r>
                            <m:r>
                              <a:rPr lang="en-US" altLang="vi-V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−</m:t>
                            </m:r>
                            <m:r>
                              <a:rPr lang="vi-VN" altLang="en-US" sz="1100">
                                <a:latin typeface="DejaVu Math TeX Gyre" panose="02000503000000000000" charset="0"/>
                              </a:rPr>
                              <m:t>𝑧</m:t>
                            </m:r>
                            <m:r>
                              <a:rPr lang="vi-VN" altLang="en-US" sz="1100">
                                <a:latin typeface="DejaVu Math TeX Gyre" panose="02000503000000000000" charset="0"/>
                              </a:rPr>
                              <m:t>ᵢ</m:t>
                            </m:r>
                            <m:r>
                              <a:rPr lang="en-US" altLang="vi-VN" sz="1100">
                                <a:latin typeface="DejaVu Math TeX Gyre" panose="02000503000000000000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altLang="vi-V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1</m:t>
                            </m:r>
                            <m:r>
                              <a:rPr lang="en-US" altLang="vi-V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−</m:t>
                            </m:r>
                            <m:r>
                              <a:rPr lang="en-US" sz="1100">
                                <a:latin typeface="DejaVu Math TeX Gyre" panose="02000503000000000000" charset="0"/>
                              </a:rPr>
                              <m:t>𝑦</m:t>
                            </m:r>
                            <m:r>
                              <a:rPr lang="en-US" sz="1100">
                                <a:latin typeface="DejaVu Math TeX Gyre" panose="02000503000000000000" charset="0"/>
                              </a:rPr>
                              <m:t>ᵢ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vi-VN" altLang="en-US" sz="1100"/>
            </a:p>
          </xdr:txBody>
        </xdr:sp>
      </mc:Choice>
      <mc:Fallback>
        <xdr:sp>
          <xdr:nvSpPr>
            <xdr:cNvPr id="18" name="Text Box 17"/>
            <xdr:cNvSpPr txBox="1"/>
          </xdr:nvSpPr>
          <xdr:spPr>
            <a:xfrm>
              <a:off x="1955165" y="37779325"/>
              <a:ext cx="3170555" cy="5759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/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𝑃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sz="1100">
                  <a:latin typeface="DejaVu Math TeX Gyre" panose="02000503000000000000" charset="0"/>
                </a:rPr>
                <a:t>𝑦</a:t>
              </a:r>
              <a:r>
                <a:rPr lang="en-US" sz="1100">
                  <a:latin typeface="DejaVu Math TeX Gyre" panose="02000503000000000000" charset="0"/>
                </a:rPr>
                <a:t>ᵢ |</a:t>
              </a:r>
              <a:r>
                <a:rPr lang="vi-VN" altLang="en-US" sz="1100">
                  <a:latin typeface="DejaVu Math TeX Gyre" panose="02000503000000000000" charset="0"/>
                </a:rPr>
                <a:t>𝑥</a:t>
              </a:r>
              <a:r>
                <a:rPr lang="vi-VN" altLang="en-US" sz="1100">
                  <a:latin typeface="DejaVu Math TeX Gyre" panose="02000503000000000000" charset="0"/>
                </a:rPr>
                <a:t>ᵢ; </a:t>
              </a:r>
              <a:r>
                <a:rPr lang="vi-VN" altLang="en-US" sz="1100">
                  <a:latin typeface="DejaVu Math TeX Gyre" panose="02000503000000000000" charset="0"/>
                </a:rPr>
                <a:t>𝑤</a:t>
              </a:r>
              <a:r>
                <a:rPr lang="en-US" altLang="vi-VN" sz="1100">
                  <a:latin typeface="DejaVu Math TeX Gyre" panose="02000503000000000000" charset="0"/>
                </a:rPr>
                <a:t>) = 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∏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𝑖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𝑁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▒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𝑧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sz="1100">
                  <a:latin typeface="DejaVu Math TeX Gyre" panose="02000503000000000000" charset="0"/>
                </a:rPr>
                <a:t>𝑦</a:t>
              </a:r>
              <a:r>
                <a:rPr lang="en-US" sz="1100">
                  <a:latin typeface="DejaVu Math TeX Gyre" panose="02000503000000000000" charset="0"/>
                </a:rPr>
                <a:t>ᵢ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 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vi-VN" altLang="en-US" sz="1100">
                  <a:latin typeface="DejaVu Math TeX Gyre" panose="02000503000000000000" charset="0"/>
                </a:rPr>
                <a:t>𝑧</a:t>
              </a:r>
              <a:r>
                <a:rPr lang="vi-VN" altLang="en-US" sz="1100">
                  <a:latin typeface="DejaVu Math TeX Gyre" panose="02000503000000000000" charset="0"/>
                </a:rPr>
                <a:t>ᵢ</a:t>
              </a:r>
              <a:r>
                <a:rPr lang="en-US" altLang="vi-VN" sz="1100">
                  <a:latin typeface="DejaVu Math TeX Gyre" panose="02000503000000000000" charset="0"/>
                </a:rPr>
                <a:t>)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altLang="vi-VN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</a:rPr>
                <a:t>𝑦</a:t>
              </a:r>
              <a:r>
                <a:rPr lang="en-US" sz="1100">
                  <a:latin typeface="DejaVu Math TeX Gyre" panose="02000503000000000000" charset="0"/>
                </a:rPr>
                <a:t>ᵢ</a:t>
              </a:r>
              <a:endParaRPr lang="vi-VN" altLang="en-US" sz="1100"/>
            </a:p>
          </xdr:txBody>
        </xdr:sp>
      </mc:Fallback>
    </mc:AlternateContent>
    <xdr:clientData/>
  </xdr:oneCellAnchor>
  <xdr:oneCellAnchor>
    <xdr:from>
      <xdr:col>3</xdr:col>
      <xdr:colOff>74930</xdr:colOff>
      <xdr:row>192</xdr:row>
      <xdr:rowOff>48260</xdr:rowOff>
    </xdr:from>
    <xdr:ext cx="3243580" cy="488950"/>
    <mc:AlternateContent xmlns:mc="http://schemas.openxmlformats.org/markup-compatibility/2006">
      <mc:Choice xmlns:a14="http://schemas.microsoft.com/office/drawing/2010/main" Requires="a14">
        <xdr:sp>
          <xdr:nvSpPr>
            <xdr:cNvPr id="20" name="Text Box 19"/>
            <xdr:cNvSpPr txBox="1"/>
          </xdr:nvSpPr>
          <xdr:spPr>
            <a:xfrm>
              <a:off x="2004060" y="38681660"/>
              <a:ext cx="3243580" cy="4889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𝐽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(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𝑤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) = −</m:t>
                    </m:r>
                    <m:nary>
                      <m:naryPr>
                        <m:chr m:val="∑"/>
                        <m:limLoc m:val="undOvr"/>
                        <m:ctrlP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naryPr>
                      <m:sub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𝑖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=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</m:sub>
                      <m:sup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𝑁</m:t>
                        </m:r>
                      </m:sup>
                      <m:e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(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𝑦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ᵢ 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𝑙𝑜𝑔</m:t>
                        </m:r>
                        <m:r>
                          <m:rPr>
                            <m:sty m:val="p"/>
                          </m:rP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z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ᵢ +(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y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ᵢ )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𝑙𝑜𝑔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(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z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ᵢ)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0" name="Text Box 19"/>
            <xdr:cNvSpPr txBox="1"/>
          </xdr:nvSpPr>
          <xdr:spPr>
            <a:xfrm>
              <a:off x="2004060" y="38681660"/>
              <a:ext cx="3243580" cy="4889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𝐽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𝑤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) = 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∑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𝑖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𝑁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𝑦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ᵢ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𝑙𝑜𝑔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z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ᵢ +(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y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ᵢ )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𝑙𝑜𝑔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z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ᵢ)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2</xdr:col>
      <xdr:colOff>954405</xdr:colOff>
      <xdr:row>264</xdr:row>
      <xdr:rowOff>180340</xdr:rowOff>
    </xdr:from>
    <xdr:to>
      <xdr:col>4</xdr:col>
      <xdr:colOff>198120</xdr:colOff>
      <xdr:row>277</xdr:row>
      <xdr:rowOff>202565</xdr:rowOff>
    </xdr:to>
    <xdr:pic>
      <xdr:nvPicPr>
        <xdr:cNvPr id="21" name="Picture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8175" y="54183280"/>
          <a:ext cx="4963795" cy="279590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19685</xdr:colOff>
      <xdr:row>286</xdr:row>
      <xdr:rowOff>126365</xdr:rowOff>
    </xdr:from>
    <xdr:ext cx="2794635" cy="467995"/>
    <mc:AlternateContent xmlns:mc="http://schemas.openxmlformats.org/markup-compatibility/2006">
      <mc:Choice xmlns:a14="http://schemas.microsoft.com/office/drawing/2010/main" Requires="a14">
        <xdr:sp>
          <xdr:nvSpPr>
            <xdr:cNvPr id="22" name="Text Box 21"/>
            <xdr:cNvSpPr txBox="1"/>
          </xdr:nvSpPr>
          <xdr:spPr>
            <a:xfrm>
              <a:off x="1948815" y="58823225"/>
              <a:ext cx="2794635" cy="46799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𝐹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1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 = 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2</m:t>
                    </m:r>
                    <m:r>
                      <a:rPr lang="en-US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𝑥</m:t>
                    </m:r>
                    <m:f>
                      <m:fPr>
                        <m:ctrlP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𝑃𝑟𝑒𝑐𝑖𝑠𝑖𝑜𝑛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 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𝑥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 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𝑆𝑒𝑛𝑠𝑖𝑡𝑖𝑣𝑖𝑡𝑦</m:t>
                        </m:r>
                      </m:num>
                      <m:den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𝑃𝑟𝑒𝑐𝑖𝑠𝑖𝑜𝑛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 + </m:t>
                        </m:r>
                        <m:r>
                          <a:rPr lang="en-US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𝑆𝑒𝑛𝑠𝑖𝑡𝑖𝑣𝑖𝑡𝑦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2" name="Text Box 21"/>
            <xdr:cNvSpPr txBox="1"/>
          </xdr:nvSpPr>
          <xdr:spPr>
            <a:xfrm>
              <a:off x="1948815" y="58823225"/>
              <a:ext cx="2794635" cy="46799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𝐹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=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2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𝑃𝑟𝑒𝑐𝑖𝑠𝑖𝑜𝑛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𝑆𝑒𝑛𝑠𝑖𝑡𝑖𝑣𝑖𝑡𝑦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/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𝑃𝑟𝑒𝑐𝑖𝑠𝑖𝑜𝑛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 + </a:t>
              </a:r>
              <a:r>
                <a:rPr lang="en-US" sz="1100">
                  <a:latin typeface="DejaVu Math TeX Gyre" panose="02000503000000000000" charset="0"/>
                  <a:cs typeface="DejaVu Math TeX Gyre" panose="02000503000000000000" charset="0"/>
                </a:rPr>
                <a:t>𝑆𝑒𝑛𝑠𝑖𝑡𝑖𝑣𝑖𝑡𝑦</a:t>
              </a:r>
              <a:endParaRPr lang="en-US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ekim/Documents/Ca&#769;%20nha&#770;n/deloitte///nas_filesharing.lhb.net/Credit_Risk_Management_and_Capital_Dept/Credit%20Risk%20(Model)/HL%20Scoring%20Model%205/&#3588;&#3635;&#3609;&#3623;&#3603;%20Scoring%20V%205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ekim/Documents/Ca&#769;%20nha&#770;n/deloitte///CCDSASVHAP01/PMU-Data01/PMU1/AnalyticsTeam/IFRS9/12%20LGD%20Calculation/IBG/Scaling%20Factor/20170328%20Actual%20Loss_By%20Recover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DMINI~1.WIB/LOCALS~1/Temp/C.Lotus.Notes.Data/CB32_1Aug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udomkanjananan/OneDrive%20-%20Deloitte%20(O365D)/Internal%20-%20TLT%20Credit%20Rating%20Development%202024/0.%20Reference/LHB%20Expert%20Scorecard/Final%20Scorecard%20and%20Document/Hotel%20Scorecard/LHB%20CRR_Scorecard_Hotel_V9.0_Clean%2011.0%20(No%20exclusion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pichetpongsa/Downloads/Project/LHB/07_Tuned%20Scorecard/Corporate/LHB%20CRR_Corporate%20SCORECARD_5.0_20230821_Clean%208.1%20(No%20exclusion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n.yee.tan/Desktop/AmBank%20PMO/CIMB%20GCLS_Requirements%20Traceability%20Matrix_v0.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ain Table"/>
      <sheetName val="Score"/>
      <sheetName val="Sector."/>
      <sheetName val="คำนวณ PD"/>
      <sheetName val="Find Sector"/>
      <sheetName val="Sector "/>
      <sheetName val="GainTable"/>
      <sheetName val="Weight"/>
      <sheetName val="Di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1.ME Factor list"/>
      <sheetName val="2.ME Dataset"/>
      <sheetName val="3.NPL"/>
      <sheetName val="4.Recoveries Data"/>
      <sheetName val="Master"/>
      <sheetName val="Selected customers"/>
      <sheetName val="Avg_Annual_LGD"/>
      <sheetName val="LFD_By_DF_Date"/>
      <sheetName val="LGD_YEAR_GROUP"/>
      <sheetName val="Grouping"/>
      <sheetName val="LGD_Group"/>
      <sheetName val="Scaling_Factor"/>
      <sheetName val="Sheet4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ws"/>
      <sheetName val="report"/>
      <sheetName val="CrfTextFile"/>
      <sheetName val="item"/>
      <sheetName val="temp"/>
      <sheetName val="program"/>
      <sheetName val="5.Valid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Long list - F&amp;L_Oldest"/>
      <sheetName val="Cover"/>
      <sheetName val="Data Preparation"/>
      <sheetName val="Data Dictionary"/>
      <sheetName val="Flowchart"/>
      <sheetName val="Development Process &gt;&gt;"/>
      <sheetName val="Short list - Hotel"/>
      <sheetName val="Scorecard"/>
      <sheetName val="Score Generator"/>
      <sheetName val="Summary Result"/>
      <sheetName val="Accuracy Ratio"/>
      <sheetName val="Selective Customers"/>
      <sheetName val="Total Asset VS Score"/>
      <sheetName val="Customer Risk Assessment"/>
      <sheetName val="Validation Process &gt;&gt;"/>
      <sheetName val="Investigated cases"/>
      <sheetName val="Working Sheet Support&gt;&gt;"/>
      <sheetName val="Non-Retail Data"/>
      <sheetName val="Percentile Analysis"/>
      <sheetName val="Expert Workshop Resu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ta Prepartion"/>
      <sheetName val="Data Dictionary"/>
      <sheetName val="Flowchart"/>
      <sheetName val="Development Process &gt;&gt;"/>
      <sheetName val="Short list - Corporate"/>
      <sheetName val="Scorecard"/>
      <sheetName val="Score Generator"/>
      <sheetName val="Accuracy Ratio"/>
      <sheetName val="Summary Result"/>
      <sheetName val="Total Asset VS Score"/>
      <sheetName val="External Credit Rating VS Score"/>
      <sheetName val="Selective Customers"/>
      <sheetName val="Validation Process &gt;&gt;"/>
      <sheetName val="Customer Risk Assessment"/>
      <sheetName val="Investigated cases"/>
      <sheetName val="Working Sheet Support&gt;&gt;"/>
      <sheetName val="Expert Workshop Result"/>
      <sheetName val="Percentile Analysis"/>
      <sheetName val="Non-Retai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RTM - General"/>
      <sheetName val="RTM Lifecycle Tracking"/>
      <sheetName val="Version Control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6.6761226852" refreshedBy="leekim" recordCount="61">
  <cacheSource type="worksheet">
    <worksheetSource ref="A1:F62" sheet="Default Rate By bin"/>
  </cacheSource>
  <cacheFields count="6">
    <cacheField name="Feature" numFmtId="0">
      <sharedItems count="8">
        <s v="Debt restructuring history"/>
        <s v="Debt rescheduling history (reschedule)"/>
        <s v="Worst credit bureau delinquency record in the past 2 years"/>
        <s v="Net Fixed Asset"/>
        <s v="Net Profit Margin (%)"/>
        <s v="Sale Growth (%)"/>
        <s v="Debt-to-Equity Ratio"/>
        <s v="Debt Service Coverage Area"/>
      </sharedItems>
    </cacheField>
    <cacheField name="Bin" numFmtId="0">
      <sharedItems count="50">
        <s v="No debt restructuring history"/>
        <s v="Restructured debt with regular payments for more than 12 months"/>
        <s v="Restructured debt with regular payments for 6-12 months"/>
        <s v="Restructured debt with regular payments for less than 6 months"/>
        <s v="Never restructured debt"/>
        <s v="Restructured debt in the past"/>
        <s v="Credit bureau check not performed"/>
        <s v="Not available"/>
        <s v="No debt rescheduling history (payment term relief)"/>
        <s v="Rescheduled debt with regular payments for more than 12 months"/>
        <s v="Rescheduled debt with regular payments for 6-12 months"/>
        <s v="Rescheduled debt with regular payments for less than 6 months"/>
        <s v="Record found in credit bureau but no delinquency history"/>
        <s v="Overdue more than 90 days within the past 1 year"/>
        <s v="Overdue 1-30 days within the past 1 year"/>
        <s v="Credit bureau check not performed (exempted)"/>
        <s v="Overdue 31–60 days within the past 1 year"/>
        <s v="Overdue 61–90 days within the past 1 year"/>
        <s v="Overdue 31–60 days more than 1 year ago"/>
        <s v="No record found in credit bureau"/>
        <s v="Overdue more than 90 days more than 1 year ago"/>
        <s v="Overdue 61–90 days more than 1 year ago"/>
        <s v="Overdue 1–30 days more than 1 year ago"/>
        <s v="(0, 50000000)"/>
        <s v="(150000000, 250000000)"/>
        <s v="&gt;250000000"/>
        <s v="(50000000, 100000000)"/>
        <s v="(100000000, 150000000)"/>
        <s v="&lt;=0"/>
        <s v="(7.5, 15)"/>
        <s v="(0, 2.5)"/>
        <s v="&gt;15"/>
        <s v="(2.5, 7.5)"/>
        <s v="&gt;30"/>
        <s v="(0, 5)"/>
        <s v="(15, 30)"/>
        <s v="(5, 15)"/>
        <s v="(0.5, 1)"/>
        <s v="(0, 0.5)"/>
        <s v="(1, 1.5)"/>
        <s v="(1.5, 3)"/>
        <s v="&gt;5"/>
        <s v="(3, 5)"/>
        <s v="(0, 0.25)"/>
        <s v="(0.5, 0.75)"/>
        <s v="(0.75, 1)"/>
        <s v="(1.2, 2)"/>
        <s v="(0.25, 0.5)"/>
        <s v="&gt;2"/>
        <s v="(1, 1.2)"/>
      </sharedItems>
    </cacheField>
    <cacheField name="Default Count" numFmtId="0">
      <sharedItems containsSemiMixedTypes="0" containsString="0" containsNumber="1" containsInteger="1" minValue="0" maxValue="34" count="18">
        <n v="12"/>
        <n v="4"/>
        <n v="8"/>
        <n v="5"/>
        <n v="21"/>
        <n v="0"/>
        <n v="9"/>
        <n v="19"/>
        <n v="1"/>
        <n v="6"/>
        <n v="3"/>
        <n v="7"/>
        <n v="20"/>
        <n v="18"/>
        <n v="34"/>
        <n v="2"/>
        <n v="33"/>
        <n v="13"/>
      </sharedItems>
    </cacheField>
    <cacheField name="Total Count" numFmtId="0">
      <sharedItems containsSemiMixedTypes="0" containsString="0" containsNumber="1" containsInteger="1" minValue="0" maxValue="400" count="44">
        <n v="233"/>
        <n v="16"/>
        <n v="18"/>
        <n v="8"/>
        <n v="271"/>
        <n v="10"/>
        <n v="1"/>
        <n v="0"/>
        <n v="185"/>
        <n v="33"/>
        <n v="27"/>
        <n v="30"/>
        <n v="282"/>
        <n v="342"/>
        <n v="59"/>
        <n v="9"/>
        <n v="6"/>
        <n v="29"/>
        <n v="20"/>
        <n v="17"/>
        <n v="7"/>
        <n v="165"/>
        <n v="57"/>
        <n v="113"/>
        <n v="122"/>
        <n v="74"/>
        <n v="26"/>
        <n v="305"/>
        <n v="60"/>
        <n v="63"/>
        <n v="50"/>
        <n v="231"/>
        <n v="79"/>
        <n v="44"/>
        <n v="83"/>
        <n v="48"/>
        <n v="72"/>
        <n v="400"/>
        <n v="31"/>
        <n v="28"/>
        <n v="25"/>
        <n v="108"/>
        <n v="52"/>
        <n v="41"/>
      </sharedItems>
    </cacheField>
    <cacheField name="Default Rate" numFmtId="0">
      <sharedItems containsSemiMixedTypes="0" containsString="0" containsNumber="1" minValue="0" maxValue="100" count="45">
        <n v="5.15"/>
        <n v="25"/>
        <n v="44.44"/>
        <n v="62.5"/>
        <n v="7.75"/>
        <n v="0"/>
        <n v="4.86"/>
        <n v="12.12"/>
        <n v="13.33"/>
        <n v="7.45"/>
        <n v="5.56"/>
        <n v="6.78"/>
        <n v="16.67"/>
        <n v="17.24"/>
        <n v="30"/>
        <n v="100"/>
        <n v="14.29"/>
        <n v="3.54"/>
        <n v="14.75"/>
        <n v="9.46"/>
        <n v="3.85"/>
        <n v="11.15"/>
        <n v="5"/>
        <n v="7.94"/>
        <n v="12"/>
        <n v="4"/>
        <n v="9.09"/>
        <n v="11.39"/>
        <n v="6.82"/>
        <n v="7.23"/>
        <n v="12.5"/>
        <n v="6.94"/>
        <n v="8.25"/>
        <n v="20"/>
        <n v="7.14"/>
        <n v="11.11"/>
        <n v="33.33"/>
        <n v="8.33"/>
        <n v="18.06"/>
        <n v="1.92"/>
        <n v="3.33"/>
        <n v="3.03"/>
        <n v="12.2"/>
        <n v="7.32"/>
        <n v="10.71"/>
      </sharedItems>
    </cacheField>
    <cacheField name="Scorecard score" numFmtId="0">
      <sharedItems containsSemiMixedTypes="0" containsString="0" containsNumber="1" containsInteger="1" minValue="-100" maxValue="100" count="17">
        <n v="0"/>
        <n v="-50"/>
        <n v="-100"/>
        <n v="100"/>
        <n v="-25"/>
        <n v="-75"/>
        <n v="75"/>
        <n v="25"/>
        <n v="50"/>
        <n v="80"/>
        <n v="60"/>
        <n v="40"/>
        <n v="20"/>
        <n v="30"/>
        <n v="90"/>
        <n v="10"/>
        <n v="7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x v="0"/>
    <x v="0"/>
    <x v="0"/>
    <x v="0"/>
    <x v="0"/>
    <x v="0"/>
  </r>
  <r>
    <x v="0"/>
    <x v="1"/>
    <x v="1"/>
    <x v="1"/>
    <x v="1"/>
    <x v="1"/>
  </r>
  <r>
    <x v="0"/>
    <x v="2"/>
    <x v="2"/>
    <x v="2"/>
    <x v="2"/>
    <x v="2"/>
  </r>
  <r>
    <x v="0"/>
    <x v="3"/>
    <x v="3"/>
    <x v="3"/>
    <x v="3"/>
    <x v="2"/>
  </r>
  <r>
    <x v="0"/>
    <x v="4"/>
    <x v="4"/>
    <x v="4"/>
    <x v="4"/>
    <x v="0"/>
  </r>
  <r>
    <x v="0"/>
    <x v="5"/>
    <x v="5"/>
    <x v="5"/>
    <x v="5"/>
    <x v="1"/>
  </r>
  <r>
    <x v="0"/>
    <x v="6"/>
    <x v="5"/>
    <x v="6"/>
    <x v="5"/>
    <x v="0"/>
  </r>
  <r>
    <x v="0"/>
    <x v="7"/>
    <x v="5"/>
    <x v="7"/>
    <x v="5"/>
    <x v="0"/>
  </r>
  <r>
    <x v="1"/>
    <x v="8"/>
    <x v="6"/>
    <x v="8"/>
    <x v="6"/>
    <x v="0"/>
  </r>
  <r>
    <x v="1"/>
    <x v="9"/>
    <x v="1"/>
    <x v="9"/>
    <x v="7"/>
    <x v="1"/>
  </r>
  <r>
    <x v="1"/>
    <x v="10"/>
    <x v="0"/>
    <x v="10"/>
    <x v="2"/>
    <x v="2"/>
  </r>
  <r>
    <x v="1"/>
    <x v="11"/>
    <x v="1"/>
    <x v="11"/>
    <x v="8"/>
    <x v="2"/>
  </r>
  <r>
    <x v="1"/>
    <x v="7"/>
    <x v="4"/>
    <x v="12"/>
    <x v="9"/>
    <x v="0"/>
  </r>
  <r>
    <x v="2"/>
    <x v="12"/>
    <x v="7"/>
    <x v="13"/>
    <x v="10"/>
    <x v="3"/>
  </r>
  <r>
    <x v="2"/>
    <x v="13"/>
    <x v="1"/>
    <x v="1"/>
    <x v="1"/>
    <x v="2"/>
  </r>
  <r>
    <x v="2"/>
    <x v="14"/>
    <x v="1"/>
    <x v="14"/>
    <x v="11"/>
    <x v="4"/>
  </r>
  <r>
    <x v="2"/>
    <x v="15"/>
    <x v="5"/>
    <x v="15"/>
    <x v="5"/>
    <x v="3"/>
  </r>
  <r>
    <x v="2"/>
    <x v="6"/>
    <x v="8"/>
    <x v="16"/>
    <x v="12"/>
    <x v="2"/>
  </r>
  <r>
    <x v="2"/>
    <x v="16"/>
    <x v="3"/>
    <x v="17"/>
    <x v="13"/>
    <x v="1"/>
  </r>
  <r>
    <x v="2"/>
    <x v="17"/>
    <x v="9"/>
    <x v="18"/>
    <x v="14"/>
    <x v="5"/>
  </r>
  <r>
    <x v="2"/>
    <x v="18"/>
    <x v="10"/>
    <x v="2"/>
    <x v="12"/>
    <x v="1"/>
  </r>
  <r>
    <x v="2"/>
    <x v="19"/>
    <x v="5"/>
    <x v="19"/>
    <x v="5"/>
    <x v="0"/>
  </r>
  <r>
    <x v="2"/>
    <x v="20"/>
    <x v="11"/>
    <x v="20"/>
    <x v="15"/>
    <x v="2"/>
  </r>
  <r>
    <x v="2"/>
    <x v="21"/>
    <x v="8"/>
    <x v="20"/>
    <x v="16"/>
    <x v="5"/>
  </r>
  <r>
    <x v="2"/>
    <x v="22"/>
    <x v="5"/>
    <x v="10"/>
    <x v="5"/>
    <x v="4"/>
  </r>
  <r>
    <x v="2"/>
    <x v="7"/>
    <x v="5"/>
    <x v="7"/>
    <x v="5"/>
    <x v="0"/>
  </r>
  <r>
    <x v="3"/>
    <x v="23"/>
    <x v="12"/>
    <x v="21"/>
    <x v="7"/>
    <x v="0"/>
  </r>
  <r>
    <x v="3"/>
    <x v="24"/>
    <x v="5"/>
    <x v="22"/>
    <x v="5"/>
    <x v="6"/>
  </r>
  <r>
    <x v="3"/>
    <x v="25"/>
    <x v="1"/>
    <x v="23"/>
    <x v="17"/>
    <x v="3"/>
  </r>
  <r>
    <x v="3"/>
    <x v="26"/>
    <x v="13"/>
    <x v="24"/>
    <x v="18"/>
    <x v="7"/>
  </r>
  <r>
    <x v="3"/>
    <x v="27"/>
    <x v="11"/>
    <x v="25"/>
    <x v="19"/>
    <x v="8"/>
  </r>
  <r>
    <x v="3"/>
    <x v="7"/>
    <x v="8"/>
    <x v="26"/>
    <x v="20"/>
    <x v="0"/>
  </r>
  <r>
    <x v="4"/>
    <x v="28"/>
    <x v="14"/>
    <x v="27"/>
    <x v="21"/>
    <x v="1"/>
  </r>
  <r>
    <x v="4"/>
    <x v="29"/>
    <x v="5"/>
    <x v="17"/>
    <x v="5"/>
    <x v="6"/>
  </r>
  <r>
    <x v="4"/>
    <x v="30"/>
    <x v="10"/>
    <x v="28"/>
    <x v="22"/>
    <x v="7"/>
  </r>
  <r>
    <x v="4"/>
    <x v="7"/>
    <x v="3"/>
    <x v="29"/>
    <x v="23"/>
    <x v="0"/>
  </r>
  <r>
    <x v="4"/>
    <x v="31"/>
    <x v="9"/>
    <x v="30"/>
    <x v="24"/>
    <x v="3"/>
  </r>
  <r>
    <x v="4"/>
    <x v="32"/>
    <x v="15"/>
    <x v="30"/>
    <x v="25"/>
    <x v="8"/>
  </r>
  <r>
    <x v="5"/>
    <x v="28"/>
    <x v="4"/>
    <x v="31"/>
    <x v="26"/>
    <x v="0"/>
  </r>
  <r>
    <x v="5"/>
    <x v="33"/>
    <x v="6"/>
    <x v="32"/>
    <x v="27"/>
    <x v="3"/>
  </r>
  <r>
    <x v="5"/>
    <x v="34"/>
    <x v="10"/>
    <x v="33"/>
    <x v="28"/>
    <x v="7"/>
  </r>
  <r>
    <x v="5"/>
    <x v="7"/>
    <x v="9"/>
    <x v="34"/>
    <x v="29"/>
    <x v="0"/>
  </r>
  <r>
    <x v="5"/>
    <x v="35"/>
    <x v="9"/>
    <x v="35"/>
    <x v="30"/>
    <x v="6"/>
  </r>
  <r>
    <x v="5"/>
    <x v="36"/>
    <x v="3"/>
    <x v="36"/>
    <x v="31"/>
    <x v="8"/>
  </r>
  <r>
    <x v="6"/>
    <x v="7"/>
    <x v="16"/>
    <x v="37"/>
    <x v="32"/>
    <x v="0"/>
  </r>
  <r>
    <x v="6"/>
    <x v="37"/>
    <x v="5"/>
    <x v="38"/>
    <x v="5"/>
    <x v="9"/>
  </r>
  <r>
    <x v="6"/>
    <x v="38"/>
    <x v="1"/>
    <x v="18"/>
    <x v="33"/>
    <x v="3"/>
  </r>
  <r>
    <x v="6"/>
    <x v="39"/>
    <x v="8"/>
    <x v="26"/>
    <x v="20"/>
    <x v="10"/>
  </r>
  <r>
    <x v="6"/>
    <x v="28"/>
    <x v="15"/>
    <x v="39"/>
    <x v="34"/>
    <x v="0"/>
  </r>
  <r>
    <x v="6"/>
    <x v="40"/>
    <x v="3"/>
    <x v="40"/>
    <x v="33"/>
    <x v="11"/>
  </r>
  <r>
    <x v="6"/>
    <x v="41"/>
    <x v="15"/>
    <x v="2"/>
    <x v="35"/>
    <x v="0"/>
  </r>
  <r>
    <x v="6"/>
    <x v="42"/>
    <x v="10"/>
    <x v="15"/>
    <x v="36"/>
    <x v="12"/>
  </r>
  <r>
    <x v="7"/>
    <x v="28"/>
    <x v="6"/>
    <x v="41"/>
    <x v="37"/>
    <x v="0"/>
  </r>
  <r>
    <x v="7"/>
    <x v="43"/>
    <x v="17"/>
    <x v="36"/>
    <x v="38"/>
    <x v="0"/>
  </r>
  <r>
    <x v="7"/>
    <x v="44"/>
    <x v="8"/>
    <x v="42"/>
    <x v="39"/>
    <x v="13"/>
  </r>
  <r>
    <x v="7"/>
    <x v="45"/>
    <x v="15"/>
    <x v="28"/>
    <x v="40"/>
    <x v="8"/>
  </r>
  <r>
    <x v="7"/>
    <x v="46"/>
    <x v="8"/>
    <x v="9"/>
    <x v="41"/>
    <x v="14"/>
  </r>
  <r>
    <x v="7"/>
    <x v="47"/>
    <x v="3"/>
    <x v="43"/>
    <x v="42"/>
    <x v="15"/>
  </r>
  <r>
    <x v="7"/>
    <x v="7"/>
    <x v="13"/>
    <x v="24"/>
    <x v="18"/>
    <x v="0"/>
  </r>
  <r>
    <x v="7"/>
    <x v="48"/>
    <x v="10"/>
    <x v="43"/>
    <x v="43"/>
    <x v="3"/>
  </r>
  <r>
    <x v="7"/>
    <x v="49"/>
    <x v="10"/>
    <x v="39"/>
    <x v="44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67:H73" firstHeaderRow="0" firstDataRow="1" firstDataCol="1" rowPageCount="1" colPageCount="1"/>
  <pivotFields count="6">
    <pivotField axis="axisPage" compact="0" multipleItemSelectionAllowed="1" showAll="0">
      <items count="9">
        <item x="1"/>
        <item h="1" x="0"/>
        <item h="1" x="7"/>
        <item h="1" x="6"/>
        <item h="1" x="3"/>
        <item h="1" x="4"/>
        <item h="1" x="5"/>
        <item h="1" x="2"/>
        <item t="default"/>
      </items>
    </pivotField>
    <pivotField axis="axisRow" compact="0" showAll="0">
      <items count="51">
        <item x="43"/>
        <item x="38"/>
        <item x="30"/>
        <item x="34"/>
        <item x="23"/>
        <item x="47"/>
        <item x="44"/>
        <item x="37"/>
        <item x="45"/>
        <item x="49"/>
        <item x="39"/>
        <item x="46"/>
        <item x="40"/>
        <item x="27"/>
        <item x="35"/>
        <item x="24"/>
        <item x="32"/>
        <item x="42"/>
        <item x="36"/>
        <item x="26"/>
        <item x="29"/>
        <item x="28"/>
        <item x="31"/>
        <item x="48"/>
        <item x="25"/>
        <item x="33"/>
        <item x="41"/>
        <item x="6"/>
        <item x="15"/>
        <item x="4"/>
        <item x="8"/>
        <item x="0"/>
        <item x="19"/>
        <item x="7"/>
        <item x="14"/>
        <item x="22"/>
        <item x="18"/>
        <item x="16"/>
        <item x="21"/>
        <item x="17"/>
        <item x="20"/>
        <item x="13"/>
        <item x="12"/>
        <item x="10"/>
        <item x="11"/>
        <item x="9"/>
        <item x="5"/>
        <item x="2"/>
        <item x="3"/>
        <item x="1"/>
        <item t="default"/>
      </items>
    </pivotField>
    <pivotField dataField="1" compact="0" showAll="0">
      <items count="19">
        <item x="5"/>
        <item x="8"/>
        <item x="15"/>
        <item x="10"/>
        <item x="1"/>
        <item x="3"/>
        <item x="9"/>
        <item x="11"/>
        <item x="2"/>
        <item x="6"/>
        <item x="0"/>
        <item x="17"/>
        <item x="13"/>
        <item x="7"/>
        <item x="12"/>
        <item x="4"/>
        <item x="16"/>
        <item x="14"/>
        <item t="default"/>
      </items>
    </pivotField>
    <pivotField dataField="1" compact="0" showAll="0">
      <items count="45">
        <item x="7"/>
        <item x="6"/>
        <item x="16"/>
        <item x="20"/>
        <item x="3"/>
        <item x="15"/>
        <item x="5"/>
        <item x="1"/>
        <item x="19"/>
        <item x="2"/>
        <item x="18"/>
        <item x="40"/>
        <item x="26"/>
        <item x="10"/>
        <item x="39"/>
        <item x="17"/>
        <item x="11"/>
        <item x="38"/>
        <item x="9"/>
        <item x="43"/>
        <item x="33"/>
        <item x="35"/>
        <item x="30"/>
        <item x="42"/>
        <item x="22"/>
        <item x="14"/>
        <item x="28"/>
        <item x="29"/>
        <item x="36"/>
        <item x="25"/>
        <item x="32"/>
        <item x="34"/>
        <item x="41"/>
        <item x="23"/>
        <item x="24"/>
        <item x="21"/>
        <item x="8"/>
        <item x="31"/>
        <item x="0"/>
        <item x="4"/>
        <item x="12"/>
        <item x="27"/>
        <item x="13"/>
        <item x="37"/>
        <item t="default"/>
      </items>
    </pivotField>
    <pivotField dataField="1" compact="0" showAll="0">
      <items count="46">
        <item x="5"/>
        <item x="39"/>
        <item x="41"/>
        <item x="40"/>
        <item x="17"/>
        <item x="20"/>
        <item x="25"/>
        <item x="6"/>
        <item x="22"/>
        <item x="0"/>
        <item x="10"/>
        <item x="11"/>
        <item x="28"/>
        <item x="31"/>
        <item x="34"/>
        <item x="29"/>
        <item x="43"/>
        <item x="9"/>
        <item x="4"/>
        <item x="23"/>
        <item x="32"/>
        <item x="37"/>
        <item x="26"/>
        <item x="19"/>
        <item x="44"/>
        <item x="35"/>
        <item x="21"/>
        <item x="27"/>
        <item x="24"/>
        <item x="7"/>
        <item x="42"/>
        <item x="30"/>
        <item x="8"/>
        <item x="16"/>
        <item x="18"/>
        <item x="12"/>
        <item x="13"/>
        <item x="38"/>
        <item x="33"/>
        <item x="1"/>
        <item x="14"/>
        <item x="36"/>
        <item x="2"/>
        <item x="3"/>
        <item x="15"/>
        <item t="default"/>
      </items>
    </pivotField>
    <pivotField dataField="1" compact="0" showAll="0">
      <items count="18">
        <item x="2"/>
        <item x="5"/>
        <item x="1"/>
        <item x="4"/>
        <item x="0"/>
        <item x="15"/>
        <item x="12"/>
        <item x="7"/>
        <item x="13"/>
        <item x="11"/>
        <item x="8"/>
        <item x="10"/>
        <item x="16"/>
        <item x="6"/>
        <item x="9"/>
        <item x="14"/>
        <item x="3"/>
        <item t="default"/>
      </items>
    </pivotField>
  </pivotFields>
  <rowFields count="1">
    <field x="1"/>
  </rowFields>
  <rowItems count="6">
    <i>
      <x v="30"/>
    </i>
    <i>
      <x v="33"/>
    </i>
    <i>
      <x v="43"/>
    </i>
    <i>
      <x v="44"/>
    </i>
    <i>
      <x v="4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/>
  </pageFields>
  <dataFields count="4">
    <dataField name="Default Count." fld="2" baseField="0" baseItem="0"/>
    <dataField name="Total Count." fld="3" baseField="0" baseItem="0"/>
    <dataField name="Default Rate %" fld="4" baseField="0" baseItem="0"/>
    <dataField name="Expert Scorecard scor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Deloitte Brand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6BC25"/>
      </a:accent1>
      <a:accent2>
        <a:srgbClr val="2C5234"/>
      </a:accent2>
      <a:accent3>
        <a:srgbClr val="00A3E0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0"/>
  <sheetViews>
    <sheetView zoomScale="111" zoomScaleNormal="111" topLeftCell="A3" workbookViewId="0">
      <selection activeCell="D291" sqref="D291"/>
    </sheetView>
  </sheetViews>
  <sheetFormatPr defaultColWidth="9" defaultRowHeight="16.8" outlineLevelCol="1"/>
  <cols>
    <col min="2" max="2" width="103.2734375" customWidth="1"/>
  </cols>
  <sheetData>
    <row r="1" spans="2:2">
      <c r="B1" s="15"/>
    </row>
    <row r="2" spans="2:2">
      <c r="B2" s="36" t="s">
        <v>0</v>
      </c>
    </row>
    <row r="3" ht="101" spans="2:2">
      <c r="B3" s="35" t="s">
        <v>1</v>
      </c>
    </row>
    <row r="4" spans="2:2">
      <c r="B4" s="38"/>
    </row>
    <row r="5" spans="2:2">
      <c r="B5" s="36" t="s">
        <v>2</v>
      </c>
    </row>
    <row r="6" ht="17" spans="2:2">
      <c r="B6" s="64" t="s">
        <v>3</v>
      </c>
    </row>
    <row r="7" ht="152" spans="2:2">
      <c r="B7" s="65" t="s">
        <v>4</v>
      </c>
    </row>
    <row r="8" spans="2:2">
      <c r="B8" s="65"/>
    </row>
    <row r="9" spans="2:2">
      <c r="B9" s="36" t="s">
        <v>5</v>
      </c>
    </row>
    <row r="10" ht="118" spans="2:2">
      <c r="B10" s="65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8"/>
  <sheetViews>
    <sheetView topLeftCell="D1" workbookViewId="0">
      <selection activeCell="D291" sqref="D291"/>
    </sheetView>
  </sheetViews>
  <sheetFormatPr defaultColWidth="9" defaultRowHeight="16.8"/>
  <cols>
    <col min="1" max="1" width="6.6328125" customWidth="1"/>
    <col min="2" max="2" width="57.2734375" customWidth="1"/>
    <col min="3" max="3" width="57.09375" customWidth="1"/>
    <col min="4" max="4" width="50.453125" customWidth="1"/>
    <col min="5" max="5" width="13.546875" customWidth="1"/>
    <col min="6" max="6" width="18.453125" customWidth="1"/>
    <col min="7" max="7" width="14.1796875" customWidth="1"/>
    <col min="8" max="8" width="17.90625" customWidth="1"/>
    <col min="9" max="9" width="23.90625" customWidth="1"/>
    <col min="10" max="10" width="10.6328125" customWidth="1"/>
  </cols>
  <sheetData>
    <row r="1" spans="1:10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>
      <c r="A2">
        <v>1</v>
      </c>
      <c r="B2" t="s">
        <v>17</v>
      </c>
      <c r="C2" t="s">
        <v>18</v>
      </c>
      <c r="D2" t="s">
        <v>19</v>
      </c>
      <c r="E2">
        <v>38169496.32</v>
      </c>
      <c r="F2">
        <v>-113.26</v>
      </c>
      <c r="G2">
        <v>-56.14</v>
      </c>
      <c r="H2">
        <v>99999998</v>
      </c>
      <c r="I2">
        <v>-0.41179</v>
      </c>
      <c r="J2">
        <v>0</v>
      </c>
    </row>
    <row r="3" spans="1:10">
      <c r="A3">
        <v>2</v>
      </c>
      <c r="B3" t="s">
        <v>17</v>
      </c>
      <c r="C3" t="s">
        <v>18</v>
      </c>
      <c r="D3" t="s">
        <v>19</v>
      </c>
      <c r="E3">
        <v>16781677.24</v>
      </c>
      <c r="F3">
        <v>-54.94</v>
      </c>
      <c r="G3">
        <v>-6.99</v>
      </c>
      <c r="H3">
        <v>99999998</v>
      </c>
      <c r="I3">
        <v>-0.31211</v>
      </c>
      <c r="J3">
        <v>0</v>
      </c>
    </row>
    <row r="4" spans="1:10">
      <c r="A4">
        <v>3</v>
      </c>
      <c r="B4" t="s">
        <v>17</v>
      </c>
      <c r="C4" t="s">
        <v>18</v>
      </c>
      <c r="D4" t="s">
        <v>19</v>
      </c>
      <c r="E4">
        <v>213151797</v>
      </c>
      <c r="F4">
        <v>-84.12286</v>
      </c>
      <c r="G4">
        <v>-46.76026</v>
      </c>
      <c r="H4">
        <v>0.53141</v>
      </c>
      <c r="I4">
        <v>0.0856</v>
      </c>
      <c r="J4">
        <v>0</v>
      </c>
    </row>
    <row r="5" spans="1:10">
      <c r="A5">
        <v>4</v>
      </c>
      <c r="B5" t="s">
        <v>17</v>
      </c>
      <c r="C5" t="s">
        <v>18</v>
      </c>
      <c r="D5" t="s">
        <v>19</v>
      </c>
      <c r="E5">
        <v>1181179164</v>
      </c>
      <c r="F5">
        <v>-80.71586</v>
      </c>
      <c r="G5">
        <v>-33.07817</v>
      </c>
      <c r="H5">
        <v>0.47271</v>
      </c>
      <c r="I5">
        <v>0.09958</v>
      </c>
      <c r="J5">
        <v>0</v>
      </c>
    </row>
    <row r="6" spans="1:10">
      <c r="A6">
        <v>5</v>
      </c>
      <c r="B6" t="s">
        <v>20</v>
      </c>
      <c r="C6" t="s">
        <v>21</v>
      </c>
      <c r="D6" t="s">
        <v>19</v>
      </c>
      <c r="E6">
        <v>375979748.62</v>
      </c>
      <c r="F6">
        <v>-285.6987</v>
      </c>
      <c r="G6">
        <v>-84.03822</v>
      </c>
      <c r="H6">
        <v>99999998</v>
      </c>
      <c r="I6">
        <v>0.63897</v>
      </c>
      <c r="J6">
        <v>0</v>
      </c>
    </row>
    <row r="7" spans="1:10">
      <c r="A7">
        <v>6</v>
      </c>
      <c r="B7" t="s">
        <v>17</v>
      </c>
      <c r="C7" t="s">
        <v>18</v>
      </c>
      <c r="D7" t="s">
        <v>19</v>
      </c>
      <c r="E7">
        <v>72606641.63</v>
      </c>
      <c r="F7">
        <v>-176.74375</v>
      </c>
      <c r="G7">
        <v>-86.47437</v>
      </c>
      <c r="H7">
        <v>99999998</v>
      </c>
      <c r="I7">
        <v>-1.09041</v>
      </c>
      <c r="J7">
        <v>0</v>
      </c>
    </row>
    <row r="8" spans="1:10">
      <c r="A8">
        <v>7</v>
      </c>
      <c r="B8" t="s">
        <v>22</v>
      </c>
      <c r="C8" t="s">
        <v>23</v>
      </c>
      <c r="D8" t="s">
        <v>24</v>
      </c>
      <c r="E8">
        <v>301604383.12</v>
      </c>
      <c r="F8">
        <v>-92.85954</v>
      </c>
      <c r="G8">
        <v>55.35001</v>
      </c>
      <c r="H8">
        <v>0.7464</v>
      </c>
      <c r="I8">
        <v>-0.81684</v>
      </c>
      <c r="J8">
        <v>0</v>
      </c>
    </row>
    <row r="9" spans="1:10">
      <c r="A9">
        <v>8</v>
      </c>
      <c r="B9" t="s">
        <v>17</v>
      </c>
      <c r="C9" t="s">
        <v>23</v>
      </c>
      <c r="D9" t="s">
        <v>19</v>
      </c>
      <c r="E9">
        <v>1542095940.42</v>
      </c>
      <c r="F9">
        <v>10.19</v>
      </c>
      <c r="G9">
        <v>30.86</v>
      </c>
      <c r="H9">
        <v>1.26157</v>
      </c>
      <c r="I9">
        <v>0.83338</v>
      </c>
      <c r="J9">
        <v>0</v>
      </c>
    </row>
    <row r="10" spans="1:10">
      <c r="A10">
        <v>9</v>
      </c>
      <c r="B10" t="s">
        <v>17</v>
      </c>
      <c r="C10" t="s">
        <v>21</v>
      </c>
      <c r="D10" t="s">
        <v>19</v>
      </c>
      <c r="E10">
        <v>27203707.41</v>
      </c>
      <c r="F10">
        <v>-17.70526</v>
      </c>
      <c r="G10">
        <v>-41.47401</v>
      </c>
      <c r="H10">
        <v>99999998</v>
      </c>
      <c r="I10">
        <v>0.23822</v>
      </c>
      <c r="J10">
        <v>0</v>
      </c>
    </row>
    <row r="11" spans="1:10">
      <c r="A11">
        <v>10</v>
      </c>
      <c r="B11" t="s">
        <v>17</v>
      </c>
      <c r="C11" t="s">
        <v>18</v>
      </c>
      <c r="D11" t="s">
        <v>19</v>
      </c>
      <c r="E11">
        <v>7086263.82</v>
      </c>
      <c r="F11">
        <v>-92.61</v>
      </c>
      <c r="G11">
        <v>-29.64</v>
      </c>
      <c r="H11">
        <v>1.11335</v>
      </c>
      <c r="I11">
        <v>-0.02576</v>
      </c>
      <c r="J11">
        <v>0</v>
      </c>
    </row>
    <row r="12" spans="1:10">
      <c r="A12">
        <v>11</v>
      </c>
      <c r="B12" t="s">
        <v>17</v>
      </c>
      <c r="C12" t="s">
        <v>18</v>
      </c>
      <c r="D12" t="s">
        <v>19</v>
      </c>
      <c r="E12">
        <v>23169182.23</v>
      </c>
      <c r="F12">
        <v>-205.41897</v>
      </c>
      <c r="G12">
        <v>-69.58607</v>
      </c>
      <c r="H12">
        <v>99999998</v>
      </c>
      <c r="I12">
        <v>-0.14431</v>
      </c>
      <c r="J12">
        <v>0</v>
      </c>
    </row>
    <row r="13" spans="1:10">
      <c r="A13">
        <v>12</v>
      </c>
      <c r="B13" t="s">
        <v>17</v>
      </c>
      <c r="C13" t="s">
        <v>18</v>
      </c>
      <c r="D13" t="s">
        <v>19</v>
      </c>
      <c r="E13">
        <v>1350568840.29</v>
      </c>
      <c r="F13">
        <v>13.064</v>
      </c>
      <c r="G13">
        <v>-13.18579</v>
      </c>
      <c r="H13">
        <v>0.38582</v>
      </c>
      <c r="I13">
        <v>1.84288</v>
      </c>
      <c r="J13">
        <v>0</v>
      </c>
    </row>
    <row r="14" spans="1:10">
      <c r="A14">
        <v>13</v>
      </c>
      <c r="B14" t="s">
        <v>17</v>
      </c>
      <c r="C14" t="s">
        <v>25</v>
      </c>
      <c r="D14" t="s">
        <v>19</v>
      </c>
      <c r="E14">
        <v>51567282.07</v>
      </c>
      <c r="F14">
        <v>-9.61</v>
      </c>
      <c r="G14">
        <v>-16.85</v>
      </c>
      <c r="H14">
        <v>0.51298</v>
      </c>
      <c r="I14">
        <v>0.42753</v>
      </c>
      <c r="J14">
        <v>0</v>
      </c>
    </row>
    <row r="15" spans="1:10">
      <c r="A15">
        <v>14</v>
      </c>
      <c r="B15" t="s">
        <v>17</v>
      </c>
      <c r="C15" t="s">
        <v>25</v>
      </c>
      <c r="D15" t="s">
        <v>19</v>
      </c>
      <c r="E15">
        <v>181463982.08</v>
      </c>
      <c r="F15">
        <v>-211.17703</v>
      </c>
      <c r="G15">
        <v>-82.18576</v>
      </c>
      <c r="H15">
        <v>-2.14765</v>
      </c>
      <c r="I15">
        <v>-0.04452</v>
      </c>
      <c r="J15">
        <v>0</v>
      </c>
    </row>
    <row r="16" spans="1:10">
      <c r="A16">
        <v>15</v>
      </c>
      <c r="B16" t="s">
        <v>17</v>
      </c>
      <c r="C16" t="s">
        <v>18</v>
      </c>
      <c r="D16" t="s">
        <v>19</v>
      </c>
      <c r="E16">
        <v>180596019.77</v>
      </c>
      <c r="F16">
        <v>1.97</v>
      </c>
      <c r="G16">
        <v>-80.94</v>
      </c>
      <c r="H16">
        <v>0.51579</v>
      </c>
      <c r="J16">
        <v>0</v>
      </c>
    </row>
    <row r="17" spans="1:10">
      <c r="A17">
        <v>16</v>
      </c>
      <c r="B17" t="s">
        <v>17</v>
      </c>
      <c r="C17" t="s">
        <v>25</v>
      </c>
      <c r="D17" t="s">
        <v>19</v>
      </c>
      <c r="E17">
        <v>217922749.19</v>
      </c>
      <c r="F17">
        <v>-182.22162</v>
      </c>
      <c r="G17">
        <v>-76.01723</v>
      </c>
      <c r="H17">
        <v>99999998</v>
      </c>
      <c r="I17">
        <v>-0.28953</v>
      </c>
      <c r="J17">
        <v>0</v>
      </c>
    </row>
    <row r="18" spans="1:10">
      <c r="A18">
        <v>17</v>
      </c>
      <c r="B18" t="s">
        <v>17</v>
      </c>
      <c r="C18" t="s">
        <v>21</v>
      </c>
      <c r="D18" t="s">
        <v>26</v>
      </c>
      <c r="E18">
        <v>83578128.51</v>
      </c>
      <c r="F18">
        <v>-641.15591</v>
      </c>
      <c r="G18">
        <v>-91.21621</v>
      </c>
      <c r="H18">
        <v>99999998</v>
      </c>
      <c r="I18">
        <v>-0.29518</v>
      </c>
      <c r="J18">
        <v>0</v>
      </c>
    </row>
    <row r="19" spans="1:10">
      <c r="A19">
        <v>18</v>
      </c>
      <c r="B19" t="s">
        <v>17</v>
      </c>
      <c r="C19" t="s">
        <v>18</v>
      </c>
      <c r="D19" t="s">
        <v>19</v>
      </c>
      <c r="E19">
        <v>180768578.03</v>
      </c>
      <c r="F19">
        <v>-83.90369</v>
      </c>
      <c r="G19">
        <v>3.30007</v>
      </c>
      <c r="H19">
        <v>0.52191</v>
      </c>
      <c r="I19">
        <v>-1.37526</v>
      </c>
      <c r="J19">
        <v>0</v>
      </c>
    </row>
    <row r="20" spans="1:10">
      <c r="A20">
        <v>19</v>
      </c>
      <c r="B20" t="s">
        <v>17</v>
      </c>
      <c r="C20" t="s">
        <v>18</v>
      </c>
      <c r="D20" t="s">
        <v>19</v>
      </c>
      <c r="E20">
        <v>1898769.68</v>
      </c>
      <c r="F20">
        <v>-324.23</v>
      </c>
      <c r="G20">
        <v>-55.21</v>
      </c>
      <c r="H20">
        <v>99999998</v>
      </c>
      <c r="I20">
        <v>-0.00361</v>
      </c>
      <c r="J20">
        <v>0</v>
      </c>
    </row>
    <row r="21" spans="1:10">
      <c r="A21">
        <v>20</v>
      </c>
      <c r="B21" t="s">
        <v>17</v>
      </c>
      <c r="C21" t="s">
        <v>18</v>
      </c>
      <c r="D21" t="s">
        <v>19</v>
      </c>
      <c r="E21">
        <v>20436236.38</v>
      </c>
      <c r="F21">
        <v>-127.93552</v>
      </c>
      <c r="G21">
        <v>-77.07892</v>
      </c>
      <c r="H21">
        <v>99999998</v>
      </c>
      <c r="I21">
        <v>-0.10384</v>
      </c>
      <c r="J21">
        <v>0</v>
      </c>
    </row>
    <row r="22" spans="1:10">
      <c r="A22">
        <v>21</v>
      </c>
      <c r="B22" t="s">
        <v>17</v>
      </c>
      <c r="C22" t="s">
        <v>18</v>
      </c>
      <c r="D22" t="s">
        <v>19</v>
      </c>
      <c r="E22">
        <v>28518995.05</v>
      </c>
      <c r="F22">
        <v>-153.42</v>
      </c>
      <c r="G22">
        <v>-41.02</v>
      </c>
      <c r="H22">
        <v>99999998</v>
      </c>
      <c r="I22">
        <v>-0.17237</v>
      </c>
      <c r="J22">
        <v>0</v>
      </c>
    </row>
    <row r="23" spans="1:10">
      <c r="A23">
        <v>22</v>
      </c>
      <c r="B23" t="s">
        <v>17</v>
      </c>
      <c r="C23" t="s">
        <v>18</v>
      </c>
      <c r="D23" t="s">
        <v>27</v>
      </c>
      <c r="E23">
        <v>9687738251</v>
      </c>
      <c r="F23">
        <v>-128.02879</v>
      </c>
      <c r="G23">
        <v>-66.37212</v>
      </c>
      <c r="H23">
        <v>2.43967</v>
      </c>
      <c r="I23">
        <v>-0.37221</v>
      </c>
      <c r="J23">
        <v>0</v>
      </c>
    </row>
    <row r="24" spans="1:10">
      <c r="A24">
        <v>23</v>
      </c>
      <c r="B24" t="s">
        <v>17</v>
      </c>
      <c r="C24" t="s">
        <v>28</v>
      </c>
      <c r="D24" t="s">
        <v>19</v>
      </c>
      <c r="E24">
        <v>3251922517</v>
      </c>
      <c r="F24">
        <v>-3.31578</v>
      </c>
      <c r="G24">
        <v>-9.62089</v>
      </c>
      <c r="H24">
        <v>0.75828</v>
      </c>
      <c r="I24">
        <v>0.94204</v>
      </c>
      <c r="J24">
        <v>0</v>
      </c>
    </row>
    <row r="25" spans="1:10">
      <c r="A25">
        <v>24</v>
      </c>
      <c r="B25" t="s">
        <v>17</v>
      </c>
      <c r="C25" t="s">
        <v>18</v>
      </c>
      <c r="D25" t="s">
        <v>19</v>
      </c>
      <c r="E25">
        <v>129456986.81</v>
      </c>
      <c r="F25">
        <v>-19.84688</v>
      </c>
      <c r="G25">
        <v>-55.53527</v>
      </c>
      <c r="H25">
        <v>1.37861</v>
      </c>
      <c r="I25">
        <v>0.35044</v>
      </c>
      <c r="J25">
        <v>0</v>
      </c>
    </row>
    <row r="26" spans="1:10">
      <c r="A26">
        <v>25</v>
      </c>
      <c r="B26" t="s">
        <v>17</v>
      </c>
      <c r="C26" t="s">
        <v>18</v>
      </c>
      <c r="D26" t="s">
        <v>29</v>
      </c>
      <c r="E26">
        <v>68621429.87</v>
      </c>
      <c r="F26">
        <v>-54.57</v>
      </c>
      <c r="G26">
        <v>-30.81</v>
      </c>
      <c r="H26">
        <v>99999998</v>
      </c>
      <c r="I26">
        <v>1.94255</v>
      </c>
      <c r="J26">
        <v>0</v>
      </c>
    </row>
    <row r="27" spans="1:10">
      <c r="A27">
        <v>26</v>
      </c>
      <c r="B27" t="s">
        <v>17</v>
      </c>
      <c r="C27" t="s">
        <v>18</v>
      </c>
      <c r="D27" t="s">
        <v>19</v>
      </c>
      <c r="E27">
        <v>33257577.05</v>
      </c>
      <c r="F27">
        <v>-36.72</v>
      </c>
      <c r="G27">
        <v>86.85</v>
      </c>
      <c r="H27">
        <v>2.00054</v>
      </c>
      <c r="I27">
        <v>2.35213</v>
      </c>
      <c r="J27">
        <v>0</v>
      </c>
    </row>
    <row r="28" spans="1:10">
      <c r="A28">
        <v>27</v>
      </c>
      <c r="B28" t="s">
        <v>17</v>
      </c>
      <c r="C28" t="s">
        <v>18</v>
      </c>
      <c r="D28" t="s">
        <v>19</v>
      </c>
      <c r="E28">
        <v>251832543.97</v>
      </c>
      <c r="F28">
        <v>-274.57551</v>
      </c>
      <c r="G28">
        <v>-86.51197</v>
      </c>
      <c r="H28">
        <v>99999998</v>
      </c>
      <c r="I28">
        <v>-0.56665</v>
      </c>
      <c r="J28">
        <v>0</v>
      </c>
    </row>
    <row r="29" spans="1:10">
      <c r="A29">
        <v>28</v>
      </c>
      <c r="B29" t="s">
        <v>17</v>
      </c>
      <c r="C29" t="s">
        <v>18</v>
      </c>
      <c r="D29" t="s">
        <v>24</v>
      </c>
      <c r="E29">
        <v>71899419.25</v>
      </c>
      <c r="F29">
        <v>99999999</v>
      </c>
      <c r="G29">
        <v>-100</v>
      </c>
      <c r="H29">
        <v>2.39273</v>
      </c>
      <c r="I29">
        <v>-0.06465</v>
      </c>
      <c r="J29">
        <v>0</v>
      </c>
    </row>
    <row r="30" spans="1:10">
      <c r="A30">
        <v>29</v>
      </c>
      <c r="B30" t="s">
        <v>17</v>
      </c>
      <c r="C30" t="s">
        <v>18</v>
      </c>
      <c r="D30" t="s">
        <v>19</v>
      </c>
      <c r="E30">
        <v>327703772.09</v>
      </c>
      <c r="F30">
        <v>-208.66</v>
      </c>
      <c r="G30">
        <v>-83.59</v>
      </c>
      <c r="H30">
        <v>0.45293</v>
      </c>
      <c r="I30">
        <v>0.51573</v>
      </c>
      <c r="J30">
        <v>0</v>
      </c>
    </row>
    <row r="31" spans="1:10">
      <c r="A31">
        <v>30</v>
      </c>
      <c r="B31" t="s">
        <v>17</v>
      </c>
      <c r="C31" t="s">
        <v>25</v>
      </c>
      <c r="D31" t="s">
        <v>19</v>
      </c>
      <c r="E31">
        <v>102200000</v>
      </c>
      <c r="F31">
        <v>99999999</v>
      </c>
      <c r="G31">
        <v>99999999</v>
      </c>
      <c r="H31">
        <v>1.36248</v>
      </c>
      <c r="I31">
        <v>-0.00118</v>
      </c>
      <c r="J31">
        <v>0</v>
      </c>
    </row>
    <row r="32" spans="1:10">
      <c r="A32">
        <v>31</v>
      </c>
      <c r="B32" t="s">
        <v>17</v>
      </c>
      <c r="C32" t="s">
        <v>25</v>
      </c>
      <c r="D32" t="s">
        <v>26</v>
      </c>
      <c r="E32">
        <v>264336846.91</v>
      </c>
      <c r="F32">
        <v>20.65854</v>
      </c>
      <c r="G32">
        <v>-11.87981</v>
      </c>
      <c r="H32">
        <v>2.59053</v>
      </c>
      <c r="I32">
        <v>1.4407</v>
      </c>
      <c r="J32">
        <v>0</v>
      </c>
    </row>
    <row r="33" spans="1:10">
      <c r="A33">
        <v>32</v>
      </c>
      <c r="B33" t="s">
        <v>17</v>
      </c>
      <c r="C33" t="s">
        <v>18</v>
      </c>
      <c r="D33" t="s">
        <v>27</v>
      </c>
      <c r="E33">
        <v>5807001306</v>
      </c>
      <c r="F33">
        <v>-48.70539</v>
      </c>
      <c r="G33">
        <v>-29.73839</v>
      </c>
      <c r="H33">
        <v>2.32281</v>
      </c>
      <c r="I33">
        <v>-1.10173</v>
      </c>
      <c r="J33">
        <v>0</v>
      </c>
    </row>
    <row r="34" spans="1:10">
      <c r="A34">
        <v>33</v>
      </c>
      <c r="B34" t="s">
        <v>17</v>
      </c>
      <c r="C34" t="s">
        <v>21</v>
      </c>
      <c r="D34" t="s">
        <v>19</v>
      </c>
      <c r="E34">
        <v>144304127</v>
      </c>
      <c r="F34">
        <v>1.59016</v>
      </c>
      <c r="G34">
        <v>-11.11203</v>
      </c>
      <c r="H34">
        <v>-8.58703</v>
      </c>
      <c r="I34">
        <v>0.80596</v>
      </c>
      <c r="J34">
        <v>0</v>
      </c>
    </row>
    <row r="35" spans="1:10">
      <c r="A35">
        <v>34</v>
      </c>
      <c r="B35" t="s">
        <v>17</v>
      </c>
      <c r="C35" t="s">
        <v>18</v>
      </c>
      <c r="D35" t="s">
        <v>30</v>
      </c>
      <c r="E35">
        <v>69932009.58</v>
      </c>
      <c r="F35">
        <v>6.98248</v>
      </c>
      <c r="G35">
        <v>-70.25848</v>
      </c>
      <c r="H35">
        <v>1.71772</v>
      </c>
      <c r="I35">
        <v>1.19782</v>
      </c>
      <c r="J35">
        <v>0</v>
      </c>
    </row>
    <row r="36" spans="1:10">
      <c r="A36">
        <v>35</v>
      </c>
      <c r="B36" t="s">
        <v>22</v>
      </c>
      <c r="C36" t="s">
        <v>23</v>
      </c>
      <c r="D36" t="s">
        <v>24</v>
      </c>
      <c r="E36">
        <v>60588794.28</v>
      </c>
      <c r="F36">
        <v>-347.81089</v>
      </c>
      <c r="G36">
        <v>-0.26914</v>
      </c>
      <c r="H36">
        <v>99999998</v>
      </c>
      <c r="I36">
        <v>-0.98191</v>
      </c>
      <c r="J36">
        <v>0</v>
      </c>
    </row>
    <row r="37" spans="1:10">
      <c r="A37">
        <v>36</v>
      </c>
      <c r="B37" t="s">
        <v>31</v>
      </c>
      <c r="C37" t="s">
        <v>23</v>
      </c>
      <c r="D37" t="s">
        <v>24</v>
      </c>
      <c r="E37">
        <v>56114.95</v>
      </c>
      <c r="F37">
        <v>42.12968</v>
      </c>
      <c r="G37">
        <v>-29.20168</v>
      </c>
      <c r="H37">
        <v>0.01669</v>
      </c>
      <c r="J37">
        <v>1</v>
      </c>
    </row>
    <row r="38" spans="1:10">
      <c r="A38">
        <v>37</v>
      </c>
      <c r="B38" t="s">
        <v>17</v>
      </c>
      <c r="C38" t="s">
        <v>18</v>
      </c>
      <c r="D38" t="s">
        <v>19</v>
      </c>
      <c r="E38">
        <v>195351338.13</v>
      </c>
      <c r="F38">
        <v>-10.51651</v>
      </c>
      <c r="G38">
        <v>-3.47424</v>
      </c>
      <c r="H38">
        <v>-2.76748</v>
      </c>
      <c r="I38">
        <v>0.66035</v>
      </c>
      <c r="J38">
        <v>0</v>
      </c>
    </row>
    <row r="39" spans="1:10">
      <c r="A39">
        <v>38</v>
      </c>
      <c r="B39" t="s">
        <v>17</v>
      </c>
      <c r="C39" t="s">
        <v>18</v>
      </c>
      <c r="D39" t="s">
        <v>19</v>
      </c>
      <c r="E39">
        <v>234865900.35</v>
      </c>
      <c r="F39">
        <v>-2.86</v>
      </c>
      <c r="G39">
        <v>-5.36</v>
      </c>
      <c r="H39">
        <v>-3.61112</v>
      </c>
      <c r="I39">
        <v>0.79104</v>
      </c>
      <c r="J39">
        <v>0</v>
      </c>
    </row>
    <row r="40" spans="1:10">
      <c r="A40">
        <v>39</v>
      </c>
      <c r="B40" t="s">
        <v>17</v>
      </c>
      <c r="C40" t="s">
        <v>18</v>
      </c>
      <c r="D40" t="s">
        <v>19</v>
      </c>
      <c r="E40">
        <v>69932009.58</v>
      </c>
      <c r="F40">
        <v>6.98248</v>
      </c>
      <c r="G40">
        <v>-70.25848</v>
      </c>
      <c r="H40">
        <v>2.11822</v>
      </c>
      <c r="I40">
        <v>1.19782</v>
      </c>
      <c r="J40">
        <v>0</v>
      </c>
    </row>
    <row r="41" spans="1:10">
      <c r="A41">
        <v>40</v>
      </c>
      <c r="B41" t="s">
        <v>17</v>
      </c>
      <c r="C41" t="s">
        <v>18</v>
      </c>
      <c r="D41" t="s">
        <v>27</v>
      </c>
      <c r="E41">
        <v>2532176365</v>
      </c>
      <c r="F41">
        <v>-27.21663</v>
      </c>
      <c r="G41">
        <v>-37.64652</v>
      </c>
      <c r="H41">
        <v>15.21586</v>
      </c>
      <c r="I41">
        <v>-7.93745</v>
      </c>
      <c r="J41">
        <v>0</v>
      </c>
    </row>
    <row r="42" spans="1:10">
      <c r="A42">
        <v>41</v>
      </c>
      <c r="B42" t="s">
        <v>31</v>
      </c>
      <c r="C42" t="s">
        <v>23</v>
      </c>
      <c r="D42" t="s">
        <v>24</v>
      </c>
      <c r="E42">
        <v>56114.95</v>
      </c>
      <c r="F42">
        <v>42.12968</v>
      </c>
      <c r="G42">
        <v>-29.20168</v>
      </c>
      <c r="H42">
        <v>99999999</v>
      </c>
      <c r="J42">
        <v>1</v>
      </c>
    </row>
    <row r="43" spans="1:10">
      <c r="A43">
        <v>42</v>
      </c>
      <c r="B43" t="s">
        <v>17</v>
      </c>
      <c r="C43" t="s">
        <v>18</v>
      </c>
      <c r="D43" t="s">
        <v>19</v>
      </c>
      <c r="E43">
        <v>75005392.24</v>
      </c>
      <c r="F43">
        <v>-24.65699</v>
      </c>
      <c r="G43">
        <v>-10.73973</v>
      </c>
      <c r="H43">
        <v>0.63251</v>
      </c>
      <c r="I43">
        <v>2.35407</v>
      </c>
      <c r="J43">
        <v>0</v>
      </c>
    </row>
    <row r="44" spans="1:10">
      <c r="A44">
        <v>43</v>
      </c>
      <c r="B44" t="s">
        <v>20</v>
      </c>
      <c r="C44" t="s">
        <v>21</v>
      </c>
      <c r="D44" t="s">
        <v>19</v>
      </c>
      <c r="E44">
        <v>403100216.87</v>
      </c>
      <c r="F44">
        <v>33.73</v>
      </c>
      <c r="G44">
        <v>-4.76</v>
      </c>
      <c r="H44">
        <v>99999998</v>
      </c>
      <c r="I44">
        <v>1.79804</v>
      </c>
      <c r="J44">
        <v>0</v>
      </c>
    </row>
    <row r="45" spans="1:10">
      <c r="A45">
        <v>44</v>
      </c>
      <c r="B45" t="s">
        <v>17</v>
      </c>
      <c r="C45" t="s">
        <v>18</v>
      </c>
      <c r="D45" t="s">
        <v>19</v>
      </c>
      <c r="E45">
        <v>53753484.99</v>
      </c>
      <c r="F45">
        <v>1.08</v>
      </c>
      <c r="G45">
        <v>-4.13</v>
      </c>
      <c r="H45">
        <v>0.54547</v>
      </c>
      <c r="I45">
        <v>0.79049</v>
      </c>
      <c r="J45">
        <v>0</v>
      </c>
    </row>
    <row r="46" spans="1:10">
      <c r="A46">
        <v>45</v>
      </c>
      <c r="B46" t="s">
        <v>17</v>
      </c>
      <c r="C46" t="s">
        <v>21</v>
      </c>
      <c r="D46" t="s">
        <v>19</v>
      </c>
      <c r="E46">
        <v>23803227.94</v>
      </c>
      <c r="F46">
        <v>-0.65055</v>
      </c>
      <c r="G46">
        <v>-3.12187</v>
      </c>
      <c r="H46">
        <v>99999999</v>
      </c>
      <c r="I46">
        <v>0.62879</v>
      </c>
      <c r="J46">
        <v>0</v>
      </c>
    </row>
    <row r="47" spans="1:10">
      <c r="A47">
        <v>46</v>
      </c>
      <c r="B47" t="s">
        <v>17</v>
      </c>
      <c r="C47" t="s">
        <v>21</v>
      </c>
      <c r="D47" t="s">
        <v>19</v>
      </c>
      <c r="E47">
        <v>144304127</v>
      </c>
      <c r="F47">
        <v>1.59016</v>
      </c>
      <c r="G47">
        <v>-11.11203</v>
      </c>
      <c r="H47">
        <v>-8.58703</v>
      </c>
      <c r="I47">
        <v>0.80596</v>
      </c>
      <c r="J47">
        <v>0</v>
      </c>
    </row>
    <row r="48" spans="1:10">
      <c r="A48">
        <v>47</v>
      </c>
      <c r="B48" t="s">
        <v>17</v>
      </c>
      <c r="C48" t="s">
        <v>23</v>
      </c>
      <c r="D48" t="s">
        <v>32</v>
      </c>
      <c r="E48">
        <v>1605225520.98</v>
      </c>
      <c r="F48">
        <v>-73.62</v>
      </c>
      <c r="G48">
        <v>18.3</v>
      </c>
      <c r="H48">
        <v>1.34697</v>
      </c>
      <c r="I48">
        <v>0.18769</v>
      </c>
      <c r="J48">
        <v>0</v>
      </c>
    </row>
    <row r="49" spans="1:10">
      <c r="A49">
        <v>48</v>
      </c>
      <c r="B49" t="s">
        <v>22</v>
      </c>
      <c r="C49" t="s">
        <v>23</v>
      </c>
      <c r="D49" t="s">
        <v>24</v>
      </c>
      <c r="E49">
        <v>60588794.28</v>
      </c>
      <c r="F49">
        <v>-347.81089</v>
      </c>
      <c r="G49">
        <v>-0.26914</v>
      </c>
      <c r="H49">
        <v>99999998</v>
      </c>
      <c r="I49">
        <v>-0.98191</v>
      </c>
      <c r="J49">
        <v>0</v>
      </c>
    </row>
    <row r="50" spans="1:10">
      <c r="A50">
        <v>49</v>
      </c>
      <c r="B50" t="s">
        <v>17</v>
      </c>
      <c r="C50" t="s">
        <v>18</v>
      </c>
      <c r="D50" t="s">
        <v>19</v>
      </c>
      <c r="E50">
        <v>29732983.13</v>
      </c>
      <c r="F50">
        <v>-139.75607</v>
      </c>
      <c r="G50">
        <v>-48.27232</v>
      </c>
      <c r="H50">
        <v>99999998</v>
      </c>
      <c r="I50">
        <v>-0.43837</v>
      </c>
      <c r="J50">
        <v>0</v>
      </c>
    </row>
    <row r="51" spans="1:10">
      <c r="A51">
        <v>50</v>
      </c>
      <c r="B51" t="s">
        <v>17</v>
      </c>
      <c r="C51" t="s">
        <v>18</v>
      </c>
      <c r="D51" t="s">
        <v>27</v>
      </c>
      <c r="E51">
        <v>7954708190</v>
      </c>
      <c r="F51">
        <v>11.49324</v>
      </c>
      <c r="G51">
        <v>4.20544</v>
      </c>
      <c r="H51">
        <v>0.79309</v>
      </c>
      <c r="I51">
        <v>0.99038</v>
      </c>
      <c r="J51">
        <v>0</v>
      </c>
    </row>
    <row r="52" spans="1:10">
      <c r="A52">
        <v>51</v>
      </c>
      <c r="B52" t="s">
        <v>17</v>
      </c>
      <c r="C52" t="s">
        <v>18</v>
      </c>
      <c r="D52" t="s">
        <v>19</v>
      </c>
      <c r="E52">
        <v>133352279.92</v>
      </c>
      <c r="F52">
        <v>1.49638</v>
      </c>
      <c r="G52">
        <v>-17.29882</v>
      </c>
      <c r="H52">
        <v>0.30558</v>
      </c>
      <c r="I52">
        <v>0.80124</v>
      </c>
      <c r="J52">
        <v>0</v>
      </c>
    </row>
    <row r="53" spans="1:10">
      <c r="A53">
        <v>52</v>
      </c>
      <c r="B53" t="s">
        <v>17</v>
      </c>
      <c r="C53" t="s">
        <v>18</v>
      </c>
      <c r="D53" t="s">
        <v>19</v>
      </c>
      <c r="E53">
        <v>7546126.48</v>
      </c>
      <c r="F53">
        <v>-112.38</v>
      </c>
      <c r="G53">
        <v>-14.66</v>
      </c>
      <c r="H53">
        <v>99999999</v>
      </c>
      <c r="I53">
        <v>-0.26376</v>
      </c>
      <c r="J53">
        <v>0</v>
      </c>
    </row>
    <row r="54" spans="1:10">
      <c r="A54">
        <v>53</v>
      </c>
      <c r="B54" t="s">
        <v>22</v>
      </c>
      <c r="C54" t="s">
        <v>21</v>
      </c>
      <c r="D54" t="s">
        <v>26</v>
      </c>
      <c r="E54">
        <v>47001625.23</v>
      </c>
      <c r="F54">
        <v>-5.37876</v>
      </c>
      <c r="G54">
        <v>-9.86952</v>
      </c>
      <c r="H54">
        <v>0.9865</v>
      </c>
      <c r="I54">
        <v>4.95946</v>
      </c>
      <c r="J54">
        <v>0</v>
      </c>
    </row>
    <row r="55" spans="1:10">
      <c r="A55">
        <v>54</v>
      </c>
      <c r="B55" t="s">
        <v>17</v>
      </c>
      <c r="C55" t="s">
        <v>18</v>
      </c>
      <c r="D55" t="s">
        <v>19</v>
      </c>
      <c r="E55">
        <v>273312251.33</v>
      </c>
      <c r="F55">
        <v>30.71604</v>
      </c>
      <c r="G55">
        <v>13.72824</v>
      </c>
      <c r="H55">
        <v>99999998</v>
      </c>
      <c r="I55">
        <v>3.51193</v>
      </c>
      <c r="J55">
        <v>0</v>
      </c>
    </row>
    <row r="56" spans="1:10">
      <c r="A56">
        <v>55</v>
      </c>
      <c r="B56" t="s">
        <v>17</v>
      </c>
      <c r="C56" t="s">
        <v>18</v>
      </c>
      <c r="D56" t="s">
        <v>19</v>
      </c>
      <c r="E56">
        <v>21602976.52</v>
      </c>
      <c r="F56">
        <v>7.32756</v>
      </c>
      <c r="G56">
        <v>4.79452</v>
      </c>
      <c r="H56">
        <v>99999998</v>
      </c>
      <c r="I56">
        <v>0.69601</v>
      </c>
      <c r="J56">
        <v>0</v>
      </c>
    </row>
    <row r="57" spans="1:10">
      <c r="A57">
        <v>56</v>
      </c>
      <c r="B57" t="s">
        <v>17</v>
      </c>
      <c r="C57" t="s">
        <v>18</v>
      </c>
      <c r="D57" t="s">
        <v>19</v>
      </c>
      <c r="E57">
        <v>746190952.52</v>
      </c>
      <c r="F57">
        <v>-15.25527</v>
      </c>
      <c r="G57">
        <v>-1.26014</v>
      </c>
      <c r="H57">
        <v>0.58945</v>
      </c>
      <c r="I57">
        <v>0.10324</v>
      </c>
      <c r="J57">
        <v>0</v>
      </c>
    </row>
    <row r="58" spans="1:10">
      <c r="A58">
        <v>57</v>
      </c>
      <c r="B58" t="s">
        <v>17</v>
      </c>
      <c r="C58" t="s">
        <v>18</v>
      </c>
      <c r="D58" t="s">
        <v>19</v>
      </c>
      <c r="E58">
        <v>74674080.83</v>
      </c>
      <c r="F58">
        <v>-2.26</v>
      </c>
      <c r="G58">
        <v>-34.06</v>
      </c>
      <c r="H58">
        <v>2.49281</v>
      </c>
      <c r="I58">
        <v>0.26798</v>
      </c>
      <c r="J58">
        <v>0</v>
      </c>
    </row>
    <row r="59" spans="1:10">
      <c r="A59">
        <v>58</v>
      </c>
      <c r="B59" t="s">
        <v>17</v>
      </c>
      <c r="C59" t="s">
        <v>18</v>
      </c>
      <c r="D59" t="s">
        <v>26</v>
      </c>
      <c r="E59">
        <v>305767537.06</v>
      </c>
      <c r="F59">
        <v>1.07</v>
      </c>
      <c r="G59">
        <v>15.66</v>
      </c>
      <c r="H59">
        <v>0.88916</v>
      </c>
      <c r="I59">
        <v>0.69679</v>
      </c>
      <c r="J59">
        <v>0</v>
      </c>
    </row>
    <row r="60" spans="1:10">
      <c r="A60">
        <v>59</v>
      </c>
      <c r="B60" t="s">
        <v>17</v>
      </c>
      <c r="C60" t="s">
        <v>18</v>
      </c>
      <c r="D60" t="s">
        <v>19</v>
      </c>
      <c r="E60">
        <v>1254049610</v>
      </c>
      <c r="F60">
        <v>-60.74596</v>
      </c>
      <c r="G60">
        <v>-3.13242</v>
      </c>
      <c r="H60">
        <v>0.44347</v>
      </c>
      <c r="I60">
        <v>0.05787</v>
      </c>
      <c r="J60">
        <v>0</v>
      </c>
    </row>
    <row r="61" spans="1:10">
      <c r="A61">
        <v>60</v>
      </c>
      <c r="B61" t="s">
        <v>17</v>
      </c>
      <c r="C61" t="s">
        <v>18</v>
      </c>
      <c r="D61" t="s">
        <v>19</v>
      </c>
      <c r="E61">
        <v>232197570</v>
      </c>
      <c r="F61">
        <v>4.00584</v>
      </c>
      <c r="G61">
        <v>2.11309</v>
      </c>
      <c r="H61">
        <v>0.8641</v>
      </c>
      <c r="I61">
        <v>0.98649</v>
      </c>
      <c r="J61">
        <v>0</v>
      </c>
    </row>
    <row r="62" spans="1:10">
      <c r="A62">
        <v>61</v>
      </c>
      <c r="B62" t="s">
        <v>17</v>
      </c>
      <c r="C62" t="s">
        <v>18</v>
      </c>
      <c r="D62" t="s">
        <v>19</v>
      </c>
      <c r="E62">
        <v>56236140.52</v>
      </c>
      <c r="F62">
        <v>1.41487</v>
      </c>
      <c r="G62">
        <v>11.53992</v>
      </c>
      <c r="H62">
        <v>6.63549</v>
      </c>
      <c r="I62">
        <v>1.42432</v>
      </c>
      <c r="J62">
        <v>0</v>
      </c>
    </row>
    <row r="63" spans="1:10">
      <c r="A63">
        <v>62</v>
      </c>
      <c r="B63" t="s">
        <v>17</v>
      </c>
      <c r="C63" t="s">
        <v>18</v>
      </c>
      <c r="D63" t="s">
        <v>19</v>
      </c>
      <c r="E63">
        <v>278760428.27</v>
      </c>
      <c r="F63">
        <v>9.09045</v>
      </c>
      <c r="G63">
        <v>-0.93034</v>
      </c>
      <c r="H63">
        <v>4.91474</v>
      </c>
      <c r="I63">
        <v>3.48802</v>
      </c>
      <c r="J63">
        <v>0</v>
      </c>
    </row>
    <row r="64" spans="1:10">
      <c r="A64">
        <v>63</v>
      </c>
      <c r="B64" t="s">
        <v>17</v>
      </c>
      <c r="C64" t="s">
        <v>18</v>
      </c>
      <c r="D64" t="s">
        <v>19</v>
      </c>
      <c r="E64">
        <v>25547078.38</v>
      </c>
      <c r="F64">
        <v>-20.60639</v>
      </c>
      <c r="G64">
        <v>0.04098</v>
      </c>
      <c r="H64">
        <v>99999998</v>
      </c>
      <c r="I64">
        <v>0.161</v>
      </c>
      <c r="J64">
        <v>0</v>
      </c>
    </row>
    <row r="65" spans="1:10">
      <c r="A65">
        <v>64</v>
      </c>
      <c r="B65" t="s">
        <v>17</v>
      </c>
      <c r="C65" t="s">
        <v>18</v>
      </c>
      <c r="D65" t="s">
        <v>19</v>
      </c>
      <c r="E65">
        <v>346296039</v>
      </c>
      <c r="F65">
        <v>2.72</v>
      </c>
      <c r="G65">
        <v>6.19</v>
      </c>
      <c r="H65">
        <v>0.32974</v>
      </c>
      <c r="I65">
        <v>509.50398</v>
      </c>
      <c r="J65">
        <v>0</v>
      </c>
    </row>
    <row r="66" spans="1:10">
      <c r="A66">
        <v>65</v>
      </c>
      <c r="B66" t="s">
        <v>17</v>
      </c>
      <c r="C66" t="s">
        <v>18</v>
      </c>
      <c r="D66" t="s">
        <v>19</v>
      </c>
      <c r="E66">
        <v>2457245941</v>
      </c>
      <c r="F66">
        <v>3.48813</v>
      </c>
      <c r="G66">
        <v>13.74223</v>
      </c>
      <c r="H66">
        <v>0.6004</v>
      </c>
      <c r="I66">
        <v>1.19365</v>
      </c>
      <c r="J66">
        <v>0</v>
      </c>
    </row>
    <row r="67" spans="1:10">
      <c r="A67">
        <v>66</v>
      </c>
      <c r="B67" t="s">
        <v>17</v>
      </c>
      <c r="C67" t="s">
        <v>18</v>
      </c>
      <c r="D67" t="s">
        <v>19</v>
      </c>
      <c r="E67">
        <v>192925371.69</v>
      </c>
      <c r="F67">
        <v>-122.28</v>
      </c>
      <c r="G67">
        <v>-9.9</v>
      </c>
      <c r="H67">
        <v>1.19359</v>
      </c>
      <c r="I67">
        <v>-2.13673</v>
      </c>
      <c r="J67">
        <v>0</v>
      </c>
    </row>
    <row r="68" spans="1:10">
      <c r="A68">
        <v>67</v>
      </c>
      <c r="B68" t="s">
        <v>17</v>
      </c>
      <c r="C68" t="s">
        <v>18</v>
      </c>
      <c r="D68" t="s">
        <v>19</v>
      </c>
      <c r="E68">
        <v>227056731.99</v>
      </c>
      <c r="F68">
        <v>0.83</v>
      </c>
      <c r="G68">
        <v>-49.73</v>
      </c>
      <c r="H68">
        <v>1.04107</v>
      </c>
      <c r="I68">
        <v>1.21621</v>
      </c>
      <c r="J68">
        <v>0</v>
      </c>
    </row>
    <row r="69" spans="1:10">
      <c r="A69">
        <v>68</v>
      </c>
      <c r="B69" t="s">
        <v>17</v>
      </c>
      <c r="C69" t="s">
        <v>18</v>
      </c>
      <c r="D69" t="s">
        <v>19</v>
      </c>
      <c r="E69">
        <v>2044691.11</v>
      </c>
      <c r="F69">
        <v>-139.13978</v>
      </c>
      <c r="G69">
        <v>8.92814</v>
      </c>
      <c r="H69">
        <v>99999999</v>
      </c>
      <c r="I69">
        <v>-0.00052</v>
      </c>
      <c r="J69">
        <v>0</v>
      </c>
    </row>
    <row r="70" spans="1:10">
      <c r="A70">
        <v>69</v>
      </c>
      <c r="B70" t="s">
        <v>17</v>
      </c>
      <c r="C70" t="s">
        <v>25</v>
      </c>
      <c r="D70" t="s">
        <v>33</v>
      </c>
      <c r="E70">
        <v>11458171.4</v>
      </c>
      <c r="F70">
        <v>-1120.64031</v>
      </c>
      <c r="G70">
        <v>-26.60476</v>
      </c>
      <c r="H70">
        <v>99999999</v>
      </c>
      <c r="I70">
        <v>-0.38556</v>
      </c>
      <c r="J70">
        <v>0</v>
      </c>
    </row>
    <row r="71" spans="1:10">
      <c r="A71">
        <v>70</v>
      </c>
      <c r="B71" t="s">
        <v>17</v>
      </c>
      <c r="C71" t="s">
        <v>18</v>
      </c>
      <c r="D71" t="s">
        <v>19</v>
      </c>
      <c r="E71">
        <v>24930408.07</v>
      </c>
      <c r="F71">
        <v>-36.63436</v>
      </c>
      <c r="G71">
        <v>-6.79295</v>
      </c>
      <c r="H71">
        <v>99999999</v>
      </c>
      <c r="I71">
        <v>0.24407</v>
      </c>
      <c r="J71">
        <v>0</v>
      </c>
    </row>
    <row r="72" spans="1:10">
      <c r="A72">
        <v>71</v>
      </c>
      <c r="B72" t="s">
        <v>17</v>
      </c>
      <c r="C72" t="s">
        <v>18</v>
      </c>
      <c r="D72" t="s">
        <v>19</v>
      </c>
      <c r="E72">
        <v>66555490.34</v>
      </c>
      <c r="F72">
        <v>-9.02041</v>
      </c>
      <c r="G72">
        <v>-33.94824</v>
      </c>
      <c r="H72">
        <v>99999998</v>
      </c>
      <c r="I72">
        <v>0.49751</v>
      </c>
      <c r="J72">
        <v>0</v>
      </c>
    </row>
    <row r="73" spans="1:10">
      <c r="A73">
        <v>72</v>
      </c>
      <c r="B73" t="s">
        <v>17</v>
      </c>
      <c r="C73" t="s">
        <v>18</v>
      </c>
      <c r="D73" t="s">
        <v>19</v>
      </c>
      <c r="E73">
        <v>1515730690.37</v>
      </c>
      <c r="F73">
        <v>8.15623</v>
      </c>
      <c r="G73">
        <v>4.865</v>
      </c>
      <c r="H73">
        <v>0.26055</v>
      </c>
      <c r="I73">
        <v>1.0043</v>
      </c>
      <c r="J73">
        <v>0</v>
      </c>
    </row>
    <row r="74" spans="1:10">
      <c r="A74">
        <v>73</v>
      </c>
      <c r="B74" t="s">
        <v>17</v>
      </c>
      <c r="C74" t="s">
        <v>18</v>
      </c>
      <c r="D74" t="s">
        <v>19</v>
      </c>
      <c r="E74">
        <v>80533524.17</v>
      </c>
      <c r="F74">
        <v>23.18436</v>
      </c>
      <c r="G74">
        <v>15.75893</v>
      </c>
      <c r="H74">
        <v>99999998</v>
      </c>
      <c r="I74">
        <v>4.52407</v>
      </c>
      <c r="J74">
        <v>0</v>
      </c>
    </row>
    <row r="75" spans="1:10">
      <c r="A75">
        <v>74</v>
      </c>
      <c r="B75" t="s">
        <v>17</v>
      </c>
      <c r="C75" t="s">
        <v>18</v>
      </c>
      <c r="D75" t="s">
        <v>19</v>
      </c>
      <c r="E75">
        <v>40037259.06</v>
      </c>
      <c r="F75">
        <v>-36.52383</v>
      </c>
      <c r="G75">
        <v>502.64095</v>
      </c>
      <c r="H75">
        <v>99999998</v>
      </c>
      <c r="J75">
        <v>0</v>
      </c>
    </row>
    <row r="76" spans="1:10">
      <c r="A76">
        <v>75</v>
      </c>
      <c r="B76" t="s">
        <v>31</v>
      </c>
      <c r="C76" t="s">
        <v>25</v>
      </c>
      <c r="D76" t="s">
        <v>24</v>
      </c>
      <c r="E76">
        <v>300205467.79</v>
      </c>
      <c r="F76">
        <v>-219.84972</v>
      </c>
      <c r="G76">
        <v>10.21502</v>
      </c>
      <c r="H76">
        <v>1.3062</v>
      </c>
      <c r="I76">
        <v>-1.3257</v>
      </c>
      <c r="J76">
        <v>0</v>
      </c>
    </row>
    <row r="77" spans="1:10">
      <c r="A77">
        <v>76</v>
      </c>
      <c r="B77" t="s">
        <v>17</v>
      </c>
      <c r="C77" t="s">
        <v>18</v>
      </c>
      <c r="D77" t="s">
        <v>32</v>
      </c>
      <c r="E77">
        <v>103141586.89</v>
      </c>
      <c r="F77">
        <v>-28.89894</v>
      </c>
      <c r="G77">
        <v>78.06859</v>
      </c>
      <c r="H77">
        <v>99999998</v>
      </c>
      <c r="I77">
        <v>-0.12231</v>
      </c>
      <c r="J77">
        <v>1</v>
      </c>
    </row>
    <row r="78" spans="1:10">
      <c r="A78">
        <v>77</v>
      </c>
      <c r="B78" t="s">
        <v>17</v>
      </c>
      <c r="C78" t="s">
        <v>18</v>
      </c>
      <c r="D78" t="s">
        <v>27</v>
      </c>
      <c r="E78">
        <v>1322323528</v>
      </c>
      <c r="F78">
        <v>14.09322</v>
      </c>
      <c r="G78">
        <v>8.23</v>
      </c>
      <c r="H78">
        <v>1.38302</v>
      </c>
      <c r="I78">
        <v>65.74187</v>
      </c>
      <c r="J78">
        <v>0</v>
      </c>
    </row>
    <row r="79" spans="1:10">
      <c r="A79">
        <v>78</v>
      </c>
      <c r="B79" t="s">
        <v>17</v>
      </c>
      <c r="C79" t="s">
        <v>18</v>
      </c>
      <c r="D79" t="s">
        <v>19</v>
      </c>
      <c r="E79">
        <v>2195222.14</v>
      </c>
      <c r="F79">
        <v>-188.51998</v>
      </c>
      <c r="G79">
        <v>-0.97566</v>
      </c>
      <c r="H79">
        <v>2.51328</v>
      </c>
      <c r="I79">
        <v>-0.01895</v>
      </c>
      <c r="J79">
        <v>0</v>
      </c>
    </row>
    <row r="80" spans="1:10">
      <c r="A80">
        <v>79</v>
      </c>
      <c r="B80" t="s">
        <v>17</v>
      </c>
      <c r="C80" t="s">
        <v>18</v>
      </c>
      <c r="D80" t="s">
        <v>19</v>
      </c>
      <c r="E80">
        <v>80975833.16</v>
      </c>
      <c r="F80">
        <v>-20.5265</v>
      </c>
      <c r="G80">
        <v>-12.94674</v>
      </c>
      <c r="H80">
        <v>0.83967</v>
      </c>
      <c r="I80">
        <v>2.15814</v>
      </c>
      <c r="J80">
        <v>0</v>
      </c>
    </row>
    <row r="81" spans="1:10">
      <c r="A81">
        <v>80</v>
      </c>
      <c r="B81" t="s">
        <v>31</v>
      </c>
      <c r="C81" t="s">
        <v>25</v>
      </c>
      <c r="D81" t="s">
        <v>24</v>
      </c>
      <c r="E81">
        <v>300205467.79</v>
      </c>
      <c r="F81">
        <v>-219.84972</v>
      </c>
      <c r="G81">
        <v>10.21502</v>
      </c>
      <c r="H81">
        <v>1.3062</v>
      </c>
      <c r="I81">
        <v>-1.3257</v>
      </c>
      <c r="J81">
        <v>0</v>
      </c>
    </row>
    <row r="82" spans="1:10">
      <c r="A82">
        <v>81</v>
      </c>
      <c r="B82" t="s">
        <v>17</v>
      </c>
      <c r="C82" t="s">
        <v>21</v>
      </c>
      <c r="D82" t="s">
        <v>19</v>
      </c>
      <c r="E82">
        <v>25154727.82</v>
      </c>
      <c r="F82">
        <v>4.75365</v>
      </c>
      <c r="G82">
        <v>1.05585</v>
      </c>
      <c r="H82">
        <v>99999998</v>
      </c>
      <c r="I82">
        <v>0.90492</v>
      </c>
      <c r="J82">
        <v>0</v>
      </c>
    </row>
    <row r="83" spans="1:10">
      <c r="A83">
        <v>82</v>
      </c>
      <c r="B83" t="s">
        <v>17</v>
      </c>
      <c r="C83" t="s">
        <v>25</v>
      </c>
      <c r="D83" t="s">
        <v>19</v>
      </c>
      <c r="E83">
        <v>11539796.25</v>
      </c>
      <c r="F83">
        <v>-881.10465</v>
      </c>
      <c r="G83">
        <v>-9.95363</v>
      </c>
      <c r="H83">
        <v>99999998</v>
      </c>
      <c r="I83">
        <v>-0.47263</v>
      </c>
      <c r="J83">
        <v>0</v>
      </c>
    </row>
    <row r="84" spans="1:10">
      <c r="A84">
        <v>83</v>
      </c>
      <c r="B84" t="s">
        <v>17</v>
      </c>
      <c r="C84" t="s">
        <v>18</v>
      </c>
      <c r="D84" t="s">
        <v>34</v>
      </c>
      <c r="J84">
        <v>0</v>
      </c>
    </row>
    <row r="85" spans="1:10">
      <c r="A85">
        <v>84</v>
      </c>
      <c r="B85" t="s">
        <v>17</v>
      </c>
      <c r="C85" t="s">
        <v>18</v>
      </c>
      <c r="D85" t="s">
        <v>19</v>
      </c>
      <c r="E85">
        <v>346296039</v>
      </c>
      <c r="F85">
        <v>2.71629</v>
      </c>
      <c r="G85">
        <v>6.18657</v>
      </c>
      <c r="H85">
        <v>0.32974</v>
      </c>
      <c r="I85">
        <v>509.50398</v>
      </c>
      <c r="J85">
        <v>0</v>
      </c>
    </row>
    <row r="86" spans="1:10">
      <c r="A86">
        <v>85</v>
      </c>
      <c r="B86" t="s">
        <v>20</v>
      </c>
      <c r="C86" t="s">
        <v>23</v>
      </c>
      <c r="D86" t="s">
        <v>29</v>
      </c>
      <c r="E86">
        <v>573026.24</v>
      </c>
      <c r="F86">
        <v>-90.67006</v>
      </c>
      <c r="G86">
        <v>2.47045</v>
      </c>
      <c r="H86">
        <v>2.91684</v>
      </c>
      <c r="I86">
        <v>0.16251</v>
      </c>
      <c r="J86">
        <v>1</v>
      </c>
    </row>
    <row r="87" spans="1:10">
      <c r="A87">
        <v>86</v>
      </c>
      <c r="B87" t="s">
        <v>22</v>
      </c>
      <c r="C87" t="s">
        <v>23</v>
      </c>
      <c r="D87" t="s">
        <v>19</v>
      </c>
      <c r="E87">
        <v>71728792.76</v>
      </c>
      <c r="F87">
        <v>-262.74483</v>
      </c>
      <c r="G87">
        <v>-5.571</v>
      </c>
      <c r="H87">
        <v>99999998</v>
      </c>
      <c r="I87">
        <v>0.16136</v>
      </c>
      <c r="J87">
        <v>1</v>
      </c>
    </row>
    <row r="88" spans="1:10">
      <c r="A88">
        <v>87</v>
      </c>
      <c r="B88" t="s">
        <v>17</v>
      </c>
      <c r="C88" t="s">
        <v>18</v>
      </c>
      <c r="D88" t="s">
        <v>19</v>
      </c>
      <c r="E88">
        <v>53753484.99</v>
      </c>
      <c r="F88">
        <v>1.07698</v>
      </c>
      <c r="G88">
        <v>-4.13309</v>
      </c>
      <c r="H88">
        <v>1.29929</v>
      </c>
      <c r="I88">
        <v>0.79049</v>
      </c>
      <c r="J88">
        <v>0</v>
      </c>
    </row>
    <row r="89" spans="1:10">
      <c r="A89">
        <v>88</v>
      </c>
      <c r="B89" t="s">
        <v>17</v>
      </c>
      <c r="C89" t="s">
        <v>18</v>
      </c>
      <c r="D89" t="s">
        <v>19</v>
      </c>
      <c r="E89">
        <v>30834601.3</v>
      </c>
      <c r="F89">
        <v>-9.72398</v>
      </c>
      <c r="G89">
        <v>9.29566</v>
      </c>
      <c r="H89">
        <v>99999998</v>
      </c>
      <c r="I89">
        <v>1.20857</v>
      </c>
      <c r="J89">
        <v>0</v>
      </c>
    </row>
    <row r="90" spans="1:10">
      <c r="A90">
        <v>89</v>
      </c>
      <c r="B90" t="s">
        <v>17</v>
      </c>
      <c r="C90" t="s">
        <v>18</v>
      </c>
      <c r="D90" t="s">
        <v>19</v>
      </c>
      <c r="E90">
        <v>209588171.64</v>
      </c>
      <c r="F90">
        <v>-3.41</v>
      </c>
      <c r="G90">
        <v>8.41</v>
      </c>
      <c r="H90">
        <v>-4.35856</v>
      </c>
      <c r="I90">
        <v>0.88216</v>
      </c>
      <c r="J90">
        <v>0</v>
      </c>
    </row>
    <row r="91" spans="1:10">
      <c r="A91">
        <v>90</v>
      </c>
      <c r="B91" t="s">
        <v>22</v>
      </c>
      <c r="C91" t="s">
        <v>21</v>
      </c>
      <c r="D91" t="s">
        <v>26</v>
      </c>
      <c r="E91">
        <v>57209203.15</v>
      </c>
      <c r="F91">
        <v>0.46</v>
      </c>
      <c r="G91">
        <v>-2.77</v>
      </c>
      <c r="H91">
        <v>1.00427</v>
      </c>
      <c r="I91">
        <v>3.62942</v>
      </c>
      <c r="J91">
        <v>0</v>
      </c>
    </row>
    <row r="92" spans="1:10">
      <c r="A92">
        <v>91</v>
      </c>
      <c r="B92" t="s">
        <v>17</v>
      </c>
      <c r="C92" t="s">
        <v>18</v>
      </c>
      <c r="D92" t="s">
        <v>19</v>
      </c>
      <c r="E92">
        <v>273312251.33</v>
      </c>
      <c r="F92">
        <v>30.71604</v>
      </c>
      <c r="G92">
        <v>13.72824</v>
      </c>
      <c r="H92">
        <v>99999998</v>
      </c>
      <c r="I92">
        <v>3.51193</v>
      </c>
      <c r="J92">
        <v>0</v>
      </c>
    </row>
    <row r="93" spans="1:10">
      <c r="A93">
        <v>92</v>
      </c>
      <c r="B93" t="s">
        <v>17</v>
      </c>
      <c r="C93" t="s">
        <v>18</v>
      </c>
      <c r="D93" t="s">
        <v>19</v>
      </c>
      <c r="E93">
        <v>2082233176</v>
      </c>
      <c r="F93">
        <v>6.21</v>
      </c>
      <c r="G93">
        <v>40.07</v>
      </c>
      <c r="H93">
        <v>0.46031</v>
      </c>
      <c r="I93">
        <v>1.39114</v>
      </c>
      <c r="J93">
        <v>0</v>
      </c>
    </row>
    <row r="94" spans="1:10">
      <c r="A94">
        <v>93</v>
      </c>
      <c r="B94" t="s">
        <v>17</v>
      </c>
      <c r="C94" t="s">
        <v>18</v>
      </c>
      <c r="D94" t="s">
        <v>27</v>
      </c>
      <c r="E94">
        <v>7414121962</v>
      </c>
      <c r="F94">
        <v>11.75</v>
      </c>
      <c r="G94">
        <v>0.13</v>
      </c>
      <c r="H94">
        <v>0.80181</v>
      </c>
      <c r="I94">
        <v>0.82951</v>
      </c>
      <c r="J94">
        <v>0</v>
      </c>
    </row>
    <row r="95" spans="1:10">
      <c r="A95">
        <v>94</v>
      </c>
      <c r="B95" t="s">
        <v>31</v>
      </c>
      <c r="C95" t="s">
        <v>23</v>
      </c>
      <c r="D95" t="s">
        <v>26</v>
      </c>
      <c r="E95">
        <v>15602.3</v>
      </c>
      <c r="F95">
        <v>33.53685</v>
      </c>
      <c r="G95">
        <v>149.97246</v>
      </c>
      <c r="H95">
        <v>0.36847</v>
      </c>
      <c r="J95">
        <v>1</v>
      </c>
    </row>
    <row r="96" spans="1:10">
      <c r="A96">
        <v>95</v>
      </c>
      <c r="B96" t="s">
        <v>22</v>
      </c>
      <c r="C96" t="s">
        <v>23</v>
      </c>
      <c r="D96" t="s">
        <v>26</v>
      </c>
      <c r="E96">
        <v>62839824.16</v>
      </c>
      <c r="F96">
        <v>-153.20875</v>
      </c>
      <c r="G96">
        <v>-57.95033</v>
      </c>
      <c r="H96">
        <v>99999998</v>
      </c>
      <c r="J96">
        <v>1</v>
      </c>
    </row>
    <row r="97" spans="1:10">
      <c r="A97">
        <v>96</v>
      </c>
      <c r="B97" t="s">
        <v>17</v>
      </c>
      <c r="C97" t="s">
        <v>18</v>
      </c>
      <c r="D97" t="s">
        <v>19</v>
      </c>
      <c r="E97">
        <v>21602976.52</v>
      </c>
      <c r="F97">
        <v>7.32756</v>
      </c>
      <c r="G97">
        <v>4.79452</v>
      </c>
      <c r="H97">
        <v>99999998</v>
      </c>
      <c r="I97">
        <v>0.69601</v>
      </c>
      <c r="J97">
        <v>0</v>
      </c>
    </row>
    <row r="98" spans="1:10">
      <c r="A98">
        <v>97</v>
      </c>
      <c r="B98" t="s">
        <v>17</v>
      </c>
      <c r="C98" t="s">
        <v>18</v>
      </c>
      <c r="D98" t="s">
        <v>19</v>
      </c>
      <c r="E98">
        <v>1515730690.37</v>
      </c>
      <c r="F98">
        <v>8.15623</v>
      </c>
      <c r="G98">
        <v>4.865</v>
      </c>
      <c r="H98">
        <v>0.26055</v>
      </c>
      <c r="I98">
        <v>1.0043</v>
      </c>
      <c r="J98">
        <v>0</v>
      </c>
    </row>
    <row r="99" spans="1:10">
      <c r="A99">
        <v>98</v>
      </c>
      <c r="B99" t="s">
        <v>17</v>
      </c>
      <c r="C99" t="s">
        <v>18</v>
      </c>
      <c r="D99" t="s">
        <v>19</v>
      </c>
      <c r="E99">
        <v>631490324.4</v>
      </c>
      <c r="F99">
        <v>-11.87489</v>
      </c>
      <c r="G99">
        <v>3.77912</v>
      </c>
      <c r="H99">
        <v>99999998</v>
      </c>
      <c r="I99">
        <v>0.29376</v>
      </c>
      <c r="J99">
        <v>0</v>
      </c>
    </row>
    <row r="100" spans="1:10">
      <c r="A100">
        <v>99</v>
      </c>
      <c r="B100" t="s">
        <v>17</v>
      </c>
      <c r="C100" t="s">
        <v>18</v>
      </c>
      <c r="D100" t="s">
        <v>19</v>
      </c>
      <c r="E100">
        <v>307868179.75</v>
      </c>
      <c r="F100">
        <v>4.06507</v>
      </c>
      <c r="G100">
        <v>12.55828</v>
      </c>
      <c r="H100">
        <v>12.33619</v>
      </c>
      <c r="I100">
        <v>2.66825</v>
      </c>
      <c r="J100">
        <v>0</v>
      </c>
    </row>
    <row r="101" spans="1:10">
      <c r="A101">
        <v>100</v>
      </c>
      <c r="B101" t="s">
        <v>17</v>
      </c>
      <c r="C101" t="s">
        <v>21</v>
      </c>
      <c r="D101" t="s">
        <v>19</v>
      </c>
      <c r="E101">
        <v>135013144.67</v>
      </c>
      <c r="F101">
        <v>-13.9959</v>
      </c>
      <c r="G101">
        <v>-14.56924</v>
      </c>
      <c r="H101">
        <v>99999998</v>
      </c>
      <c r="I101">
        <v>0.52941</v>
      </c>
      <c r="J101">
        <v>0</v>
      </c>
    </row>
    <row r="102" spans="1:10">
      <c r="A102">
        <v>101</v>
      </c>
      <c r="B102" t="s">
        <v>17</v>
      </c>
      <c r="C102" t="s">
        <v>18</v>
      </c>
      <c r="D102" t="s">
        <v>26</v>
      </c>
      <c r="E102">
        <v>12345186.2</v>
      </c>
      <c r="F102">
        <v>-76.21984</v>
      </c>
      <c r="G102">
        <v>-24.91324</v>
      </c>
      <c r="H102">
        <v>99999998</v>
      </c>
      <c r="I102">
        <v>-0.7029</v>
      </c>
      <c r="J102">
        <v>0</v>
      </c>
    </row>
    <row r="103" spans="1:10">
      <c r="A103">
        <v>102</v>
      </c>
      <c r="B103" t="s">
        <v>17</v>
      </c>
      <c r="C103" t="s">
        <v>18</v>
      </c>
      <c r="D103" t="s">
        <v>19</v>
      </c>
      <c r="E103">
        <v>77436814.59</v>
      </c>
      <c r="F103">
        <v>86.19543</v>
      </c>
      <c r="G103">
        <v>109.49247</v>
      </c>
      <c r="H103">
        <v>2.75808</v>
      </c>
      <c r="I103">
        <v>2.39569</v>
      </c>
      <c r="J103">
        <v>0</v>
      </c>
    </row>
    <row r="104" spans="1:10">
      <c r="A104">
        <v>103</v>
      </c>
      <c r="B104" t="s">
        <v>17</v>
      </c>
      <c r="C104" t="s">
        <v>21</v>
      </c>
      <c r="D104" t="s">
        <v>19</v>
      </c>
      <c r="E104">
        <v>151592437</v>
      </c>
      <c r="F104">
        <v>13.867</v>
      </c>
      <c r="G104">
        <v>-2.07304</v>
      </c>
      <c r="H104">
        <v>-5.81457</v>
      </c>
      <c r="I104">
        <v>1.20835</v>
      </c>
      <c r="J104">
        <v>0</v>
      </c>
    </row>
    <row r="105" spans="1:10">
      <c r="A105">
        <v>104</v>
      </c>
      <c r="B105" t="s">
        <v>17</v>
      </c>
      <c r="C105" t="s">
        <v>18</v>
      </c>
      <c r="D105" t="s">
        <v>26</v>
      </c>
      <c r="E105">
        <v>360267076.55</v>
      </c>
      <c r="F105">
        <v>-20.66421</v>
      </c>
      <c r="G105">
        <v>634.02143</v>
      </c>
      <c r="H105">
        <v>8.74378</v>
      </c>
      <c r="I105">
        <v>0.96194</v>
      </c>
      <c r="J105">
        <v>0</v>
      </c>
    </row>
    <row r="106" spans="1:10">
      <c r="A106">
        <v>105</v>
      </c>
      <c r="B106" t="s">
        <v>20</v>
      </c>
      <c r="C106" t="s">
        <v>18</v>
      </c>
      <c r="D106" t="s">
        <v>19</v>
      </c>
      <c r="E106">
        <v>239252696.78</v>
      </c>
      <c r="F106">
        <v>-17.21</v>
      </c>
      <c r="G106">
        <v>8.24</v>
      </c>
      <c r="H106">
        <v>0.59016</v>
      </c>
      <c r="I106">
        <v>0.54491</v>
      </c>
      <c r="J106">
        <v>0</v>
      </c>
    </row>
    <row r="107" spans="1:10">
      <c r="A107">
        <v>106</v>
      </c>
      <c r="B107" t="s">
        <v>17</v>
      </c>
      <c r="C107" t="s">
        <v>18</v>
      </c>
      <c r="D107" t="s">
        <v>19</v>
      </c>
      <c r="E107">
        <v>86372105.67</v>
      </c>
      <c r="F107">
        <v>1.69662</v>
      </c>
      <c r="G107">
        <v>43.24228</v>
      </c>
      <c r="H107">
        <v>18.05317</v>
      </c>
      <c r="J107">
        <v>0</v>
      </c>
    </row>
    <row r="108" spans="1:10">
      <c r="A108">
        <v>107</v>
      </c>
      <c r="B108" t="s">
        <v>17</v>
      </c>
      <c r="C108" t="s">
        <v>21</v>
      </c>
      <c r="D108" t="s">
        <v>19</v>
      </c>
      <c r="E108">
        <v>456520655.54</v>
      </c>
      <c r="F108">
        <v>-24.38563</v>
      </c>
      <c r="G108">
        <v>1.47648</v>
      </c>
      <c r="H108">
        <v>1.22595</v>
      </c>
      <c r="I108">
        <v>0.66312</v>
      </c>
      <c r="J108">
        <v>0</v>
      </c>
    </row>
    <row r="109" spans="1:10">
      <c r="A109">
        <v>108</v>
      </c>
      <c r="B109" t="s">
        <v>17</v>
      </c>
      <c r="C109" t="s">
        <v>18</v>
      </c>
      <c r="D109" t="s">
        <v>26</v>
      </c>
      <c r="E109">
        <v>127405973.37</v>
      </c>
      <c r="F109">
        <v>99999999</v>
      </c>
      <c r="G109">
        <v>99999999</v>
      </c>
      <c r="H109">
        <v>1.34211</v>
      </c>
      <c r="I109">
        <v>0.73829</v>
      </c>
      <c r="J109">
        <v>0</v>
      </c>
    </row>
    <row r="110" spans="1:10">
      <c r="A110">
        <v>109</v>
      </c>
      <c r="B110" t="s">
        <v>17</v>
      </c>
      <c r="C110" t="s">
        <v>18</v>
      </c>
      <c r="D110" t="s">
        <v>19</v>
      </c>
      <c r="E110">
        <v>287510865</v>
      </c>
      <c r="F110">
        <v>7.86657</v>
      </c>
      <c r="G110">
        <v>8.89349</v>
      </c>
      <c r="H110">
        <v>0.5906</v>
      </c>
      <c r="I110">
        <v>1.1353</v>
      </c>
      <c r="J110">
        <v>0</v>
      </c>
    </row>
    <row r="111" spans="1:10">
      <c r="A111">
        <v>110</v>
      </c>
      <c r="B111" t="s">
        <v>17</v>
      </c>
      <c r="C111" t="s">
        <v>18</v>
      </c>
      <c r="D111" t="s">
        <v>19</v>
      </c>
      <c r="E111">
        <v>1294745219</v>
      </c>
      <c r="F111">
        <v>-51.73126</v>
      </c>
      <c r="G111">
        <v>138.38414</v>
      </c>
      <c r="H111">
        <v>0.59127</v>
      </c>
      <c r="I111">
        <v>0.1406</v>
      </c>
      <c r="J111">
        <v>0</v>
      </c>
    </row>
    <row r="112" spans="1:10">
      <c r="A112">
        <v>111</v>
      </c>
      <c r="B112" t="s">
        <v>17</v>
      </c>
      <c r="C112" t="s">
        <v>18</v>
      </c>
      <c r="D112" t="s">
        <v>19</v>
      </c>
      <c r="E112">
        <v>84467490.14</v>
      </c>
      <c r="F112">
        <v>20.30459</v>
      </c>
      <c r="G112">
        <v>15.98122</v>
      </c>
      <c r="H112">
        <v>99999998</v>
      </c>
      <c r="I112">
        <v>3.26207</v>
      </c>
      <c r="J112">
        <v>0</v>
      </c>
    </row>
    <row r="113" spans="1:10">
      <c r="A113">
        <v>112</v>
      </c>
      <c r="B113" t="s">
        <v>17</v>
      </c>
      <c r="C113" t="s">
        <v>18</v>
      </c>
      <c r="D113" t="s">
        <v>19</v>
      </c>
      <c r="E113">
        <v>87157529.33</v>
      </c>
      <c r="F113">
        <v>-12.74476</v>
      </c>
      <c r="G113">
        <v>55.70969</v>
      </c>
      <c r="H113">
        <v>1.06102</v>
      </c>
      <c r="I113">
        <v>2.20009</v>
      </c>
      <c r="J113">
        <v>0</v>
      </c>
    </row>
    <row r="114" spans="1:10">
      <c r="A114">
        <v>113</v>
      </c>
      <c r="B114" t="s">
        <v>20</v>
      </c>
      <c r="C114" t="s">
        <v>21</v>
      </c>
      <c r="D114" t="s">
        <v>26</v>
      </c>
      <c r="E114">
        <v>44574885.02</v>
      </c>
      <c r="F114">
        <v>-172.8</v>
      </c>
      <c r="G114">
        <v>-13.66</v>
      </c>
      <c r="H114">
        <v>99999998</v>
      </c>
      <c r="I114">
        <v>0.37483</v>
      </c>
      <c r="J114">
        <v>0</v>
      </c>
    </row>
    <row r="115" spans="1:10">
      <c r="A115">
        <v>114</v>
      </c>
      <c r="B115" t="s">
        <v>17</v>
      </c>
      <c r="C115" t="s">
        <v>18</v>
      </c>
      <c r="D115" t="s">
        <v>19</v>
      </c>
      <c r="E115">
        <v>12843835.93</v>
      </c>
      <c r="F115">
        <v>15.78</v>
      </c>
      <c r="G115">
        <v>10.95</v>
      </c>
      <c r="H115">
        <v>99999998</v>
      </c>
      <c r="I115">
        <v>0.91261</v>
      </c>
      <c r="J115">
        <v>0</v>
      </c>
    </row>
    <row r="116" spans="1:10">
      <c r="A116">
        <v>115</v>
      </c>
      <c r="B116" t="s">
        <v>17</v>
      </c>
      <c r="C116" t="s">
        <v>18</v>
      </c>
      <c r="D116" t="s">
        <v>26</v>
      </c>
      <c r="E116">
        <v>31990198.07</v>
      </c>
      <c r="F116">
        <v>-62.4076</v>
      </c>
      <c r="G116">
        <v>-13.6973</v>
      </c>
      <c r="H116">
        <v>99999998</v>
      </c>
      <c r="I116">
        <v>-0.36885</v>
      </c>
      <c r="J116">
        <v>0</v>
      </c>
    </row>
    <row r="117" spans="1:10">
      <c r="A117">
        <v>116</v>
      </c>
      <c r="B117" t="s">
        <v>20</v>
      </c>
      <c r="C117" t="s">
        <v>18</v>
      </c>
      <c r="D117" t="s">
        <v>19</v>
      </c>
      <c r="E117">
        <v>100983571.53</v>
      </c>
      <c r="F117">
        <v>0.69796</v>
      </c>
      <c r="G117">
        <v>4.94837</v>
      </c>
      <c r="H117">
        <v>1.4654</v>
      </c>
      <c r="I117">
        <v>1.13526</v>
      </c>
      <c r="J117">
        <v>0</v>
      </c>
    </row>
    <row r="118" spans="1:10">
      <c r="A118">
        <v>117</v>
      </c>
      <c r="B118" t="s">
        <v>17</v>
      </c>
      <c r="C118" t="s">
        <v>18</v>
      </c>
      <c r="D118" t="s">
        <v>32</v>
      </c>
      <c r="E118">
        <v>782082130</v>
      </c>
      <c r="F118">
        <v>-8.07</v>
      </c>
      <c r="G118">
        <v>-2.73</v>
      </c>
      <c r="H118">
        <v>1.1314</v>
      </c>
      <c r="I118">
        <v>0.76015</v>
      </c>
      <c r="J118">
        <v>1</v>
      </c>
    </row>
    <row r="119" spans="1:10">
      <c r="A119">
        <v>118</v>
      </c>
      <c r="B119" t="s">
        <v>17</v>
      </c>
      <c r="C119" t="s">
        <v>18</v>
      </c>
      <c r="D119" t="s">
        <v>26</v>
      </c>
      <c r="E119">
        <v>149241285.66</v>
      </c>
      <c r="F119">
        <v>-30.95159</v>
      </c>
      <c r="G119">
        <v>24.29734</v>
      </c>
      <c r="H119">
        <v>99999998</v>
      </c>
      <c r="I119">
        <v>0.32168</v>
      </c>
      <c r="J119">
        <v>0</v>
      </c>
    </row>
    <row r="120" spans="1:10">
      <c r="A120">
        <v>119</v>
      </c>
      <c r="B120" t="s">
        <v>17</v>
      </c>
      <c r="C120" t="s">
        <v>23</v>
      </c>
      <c r="D120" t="s">
        <v>32</v>
      </c>
      <c r="E120">
        <v>255552549.92</v>
      </c>
      <c r="F120">
        <v>-1.629</v>
      </c>
      <c r="G120">
        <v>-29.22218</v>
      </c>
      <c r="H120">
        <v>1.35159</v>
      </c>
      <c r="I120">
        <v>1.09427</v>
      </c>
      <c r="J120">
        <v>0</v>
      </c>
    </row>
    <row r="121" spans="1:10">
      <c r="A121">
        <v>120</v>
      </c>
      <c r="B121" t="s">
        <v>17</v>
      </c>
      <c r="C121" t="s">
        <v>18</v>
      </c>
      <c r="D121" t="s">
        <v>19</v>
      </c>
      <c r="E121">
        <v>70820451.96</v>
      </c>
      <c r="F121">
        <v>21.89</v>
      </c>
      <c r="G121">
        <v>203.67</v>
      </c>
      <c r="H121">
        <v>1.17589</v>
      </c>
      <c r="I121">
        <v>1.28148</v>
      </c>
      <c r="J121">
        <v>0</v>
      </c>
    </row>
    <row r="122" spans="1:10">
      <c r="A122">
        <v>121</v>
      </c>
      <c r="B122" t="s">
        <v>17</v>
      </c>
      <c r="C122" t="s">
        <v>18</v>
      </c>
      <c r="D122" t="s">
        <v>19</v>
      </c>
      <c r="E122">
        <v>11888793.82</v>
      </c>
      <c r="F122">
        <v>-877.82963</v>
      </c>
      <c r="G122">
        <v>-81.06556</v>
      </c>
      <c r="H122">
        <v>99999998</v>
      </c>
      <c r="I122">
        <v>-0.70023</v>
      </c>
      <c r="J122">
        <v>0</v>
      </c>
    </row>
    <row r="123" spans="1:10">
      <c r="A123">
        <v>122</v>
      </c>
      <c r="B123" t="s">
        <v>17</v>
      </c>
      <c r="C123" t="s">
        <v>18</v>
      </c>
      <c r="D123" t="s">
        <v>19</v>
      </c>
      <c r="E123">
        <v>26876728.48</v>
      </c>
      <c r="F123">
        <v>-3.07852</v>
      </c>
      <c r="G123">
        <v>-6.54119</v>
      </c>
      <c r="H123">
        <v>99999998</v>
      </c>
      <c r="I123">
        <v>0.67683</v>
      </c>
      <c r="J123">
        <v>0</v>
      </c>
    </row>
    <row r="124" spans="1:10">
      <c r="A124">
        <v>123</v>
      </c>
      <c r="B124" t="s">
        <v>17</v>
      </c>
      <c r="C124" t="s">
        <v>18</v>
      </c>
      <c r="D124" t="s">
        <v>19</v>
      </c>
      <c r="E124">
        <v>353232388.34</v>
      </c>
      <c r="F124">
        <v>6.26</v>
      </c>
      <c r="G124">
        <v>1174.42499</v>
      </c>
      <c r="H124">
        <v>0.36703</v>
      </c>
      <c r="I124">
        <v>5.45969</v>
      </c>
      <c r="J124">
        <v>0</v>
      </c>
    </row>
    <row r="125" spans="1:10">
      <c r="A125">
        <v>124</v>
      </c>
      <c r="B125" t="s">
        <v>22</v>
      </c>
      <c r="C125" t="s">
        <v>23</v>
      </c>
      <c r="D125" t="s">
        <v>35</v>
      </c>
      <c r="E125">
        <v>71298828.48</v>
      </c>
      <c r="F125">
        <v>-292.77949</v>
      </c>
      <c r="G125">
        <v>-17.04797</v>
      </c>
      <c r="H125">
        <v>99999998</v>
      </c>
      <c r="I125">
        <v>0.13424</v>
      </c>
      <c r="J125">
        <v>1</v>
      </c>
    </row>
    <row r="126" spans="1:10">
      <c r="A126">
        <v>125</v>
      </c>
      <c r="B126" t="s">
        <v>17</v>
      </c>
      <c r="C126" t="s">
        <v>21</v>
      </c>
      <c r="D126" t="s">
        <v>19</v>
      </c>
      <c r="E126">
        <v>42414929.22</v>
      </c>
      <c r="F126">
        <v>-477.4159</v>
      </c>
      <c r="G126">
        <v>27.08333</v>
      </c>
      <c r="H126">
        <v>99999998</v>
      </c>
      <c r="I126">
        <v>0.16852</v>
      </c>
      <c r="J126">
        <v>0</v>
      </c>
    </row>
    <row r="127" spans="1:10">
      <c r="A127">
        <v>126</v>
      </c>
      <c r="B127" t="s">
        <v>17</v>
      </c>
      <c r="C127" t="s">
        <v>18</v>
      </c>
      <c r="D127" t="s">
        <v>24</v>
      </c>
      <c r="E127">
        <v>93678494.51</v>
      </c>
      <c r="F127">
        <v>6.76</v>
      </c>
      <c r="G127">
        <v>-9.87</v>
      </c>
      <c r="H127">
        <v>1.90019</v>
      </c>
      <c r="I127">
        <v>13.49413</v>
      </c>
      <c r="J127">
        <v>0</v>
      </c>
    </row>
    <row r="128" spans="1:10">
      <c r="A128">
        <v>127</v>
      </c>
      <c r="B128" t="s">
        <v>22</v>
      </c>
      <c r="C128" t="s">
        <v>25</v>
      </c>
      <c r="D128" t="s">
        <v>35</v>
      </c>
      <c r="E128">
        <v>64988944.17</v>
      </c>
      <c r="F128">
        <v>3.88855</v>
      </c>
      <c r="G128">
        <v>180.86446</v>
      </c>
      <c r="H128">
        <v>21.49879</v>
      </c>
      <c r="J128">
        <v>1</v>
      </c>
    </row>
    <row r="129" spans="1:10">
      <c r="A129">
        <v>128</v>
      </c>
      <c r="B129" t="s">
        <v>31</v>
      </c>
      <c r="C129" t="s">
        <v>25</v>
      </c>
      <c r="D129" t="s">
        <v>24</v>
      </c>
      <c r="E129">
        <v>294170405.37</v>
      </c>
      <c r="F129">
        <v>-275.80674</v>
      </c>
      <c r="G129">
        <v>-45.79681</v>
      </c>
      <c r="H129">
        <v>0.99613</v>
      </c>
      <c r="I129">
        <v>-2.79504</v>
      </c>
      <c r="J129">
        <v>0</v>
      </c>
    </row>
    <row r="130" spans="1:10">
      <c r="A130">
        <v>129</v>
      </c>
      <c r="B130" t="s">
        <v>17</v>
      </c>
      <c r="C130" t="s">
        <v>18</v>
      </c>
      <c r="D130" t="s">
        <v>19</v>
      </c>
      <c r="E130">
        <v>161643.83</v>
      </c>
      <c r="F130">
        <v>-1046.19</v>
      </c>
      <c r="G130">
        <v>99999999</v>
      </c>
      <c r="H130">
        <v>4.32132</v>
      </c>
      <c r="I130">
        <v>-0.86748</v>
      </c>
      <c r="J130">
        <v>0</v>
      </c>
    </row>
    <row r="131" spans="1:10">
      <c r="A131">
        <v>130</v>
      </c>
      <c r="B131" t="s">
        <v>17</v>
      </c>
      <c r="C131" t="s">
        <v>18</v>
      </c>
      <c r="D131" t="s">
        <v>19</v>
      </c>
      <c r="E131">
        <v>1503342114.34</v>
      </c>
      <c r="F131">
        <v>6.59393</v>
      </c>
      <c r="G131">
        <v>-9.09634</v>
      </c>
      <c r="H131">
        <v>0.3766</v>
      </c>
      <c r="I131">
        <v>1.75171</v>
      </c>
      <c r="J131">
        <v>0</v>
      </c>
    </row>
    <row r="132" spans="1:10">
      <c r="A132">
        <v>131</v>
      </c>
      <c r="B132" t="s">
        <v>17</v>
      </c>
      <c r="C132" t="s">
        <v>18</v>
      </c>
      <c r="D132" t="s">
        <v>19</v>
      </c>
      <c r="E132">
        <v>276756969.42</v>
      </c>
      <c r="F132">
        <v>-3.70314</v>
      </c>
      <c r="G132">
        <v>0.04162</v>
      </c>
      <c r="H132">
        <v>14.41545</v>
      </c>
      <c r="I132">
        <v>0.81992</v>
      </c>
      <c r="J132">
        <v>0</v>
      </c>
    </row>
    <row r="133" spans="1:10">
      <c r="A133">
        <v>132</v>
      </c>
      <c r="B133" t="s">
        <v>17</v>
      </c>
      <c r="C133" t="s">
        <v>18</v>
      </c>
      <c r="D133" t="s">
        <v>19</v>
      </c>
      <c r="E133">
        <v>237919011.93</v>
      </c>
      <c r="F133">
        <v>-17.78538</v>
      </c>
      <c r="G133">
        <v>2402.65489</v>
      </c>
      <c r="H133">
        <v>-3.78467</v>
      </c>
      <c r="I133">
        <v>1.09794</v>
      </c>
      <c r="J133">
        <v>0</v>
      </c>
    </row>
    <row r="134" spans="1:10">
      <c r="A134">
        <v>133</v>
      </c>
      <c r="B134" t="s">
        <v>17</v>
      </c>
      <c r="C134" t="s">
        <v>18</v>
      </c>
      <c r="D134" t="s">
        <v>27</v>
      </c>
      <c r="E134">
        <v>6710071750</v>
      </c>
      <c r="F134">
        <v>-25.16</v>
      </c>
      <c r="G134">
        <v>4.73</v>
      </c>
      <c r="H134">
        <v>0.803</v>
      </c>
      <c r="I134">
        <v>-0.05253</v>
      </c>
      <c r="J134">
        <v>0</v>
      </c>
    </row>
    <row r="135" spans="1:10">
      <c r="A135">
        <v>134</v>
      </c>
      <c r="B135" t="s">
        <v>17</v>
      </c>
      <c r="C135" t="s">
        <v>18</v>
      </c>
      <c r="D135" t="s">
        <v>19</v>
      </c>
      <c r="E135">
        <v>39234</v>
      </c>
      <c r="F135">
        <v>-522.59732</v>
      </c>
      <c r="G135">
        <v>-73.24263</v>
      </c>
      <c r="I135">
        <v>-7.84059</v>
      </c>
      <c r="J135">
        <v>0</v>
      </c>
    </row>
    <row r="136" spans="1:10">
      <c r="A136">
        <v>135</v>
      </c>
      <c r="B136" t="s">
        <v>17</v>
      </c>
      <c r="C136" t="s">
        <v>18</v>
      </c>
      <c r="D136" t="s">
        <v>19</v>
      </c>
      <c r="E136">
        <v>22770895.5</v>
      </c>
      <c r="F136">
        <v>-54.51088</v>
      </c>
      <c r="G136">
        <v>35.15204</v>
      </c>
      <c r="H136">
        <v>99999998</v>
      </c>
      <c r="I136">
        <v>-0.11901</v>
      </c>
      <c r="J136">
        <v>0</v>
      </c>
    </row>
    <row r="137" spans="1:10">
      <c r="A137">
        <v>136</v>
      </c>
      <c r="B137" t="s">
        <v>17</v>
      </c>
      <c r="C137" t="s">
        <v>25</v>
      </c>
      <c r="D137" t="s">
        <v>26</v>
      </c>
      <c r="E137">
        <v>133663053.5</v>
      </c>
      <c r="F137">
        <v>-86.93</v>
      </c>
      <c r="G137">
        <v>9.65</v>
      </c>
      <c r="H137">
        <v>99999998</v>
      </c>
      <c r="I137">
        <v>-0.11517</v>
      </c>
      <c r="J137">
        <v>1</v>
      </c>
    </row>
    <row r="138" spans="1:10">
      <c r="A138">
        <v>137</v>
      </c>
      <c r="B138" t="s">
        <v>17</v>
      </c>
      <c r="C138" t="s">
        <v>25</v>
      </c>
      <c r="D138" t="s">
        <v>19</v>
      </c>
      <c r="E138">
        <v>17712530.97</v>
      </c>
      <c r="F138">
        <v>-2.63</v>
      </c>
      <c r="G138">
        <v>-9.98</v>
      </c>
      <c r="H138">
        <v>-2.02613</v>
      </c>
      <c r="I138">
        <v>0.40262</v>
      </c>
      <c r="J138">
        <v>1</v>
      </c>
    </row>
    <row r="139" spans="1:10">
      <c r="A139">
        <v>138</v>
      </c>
      <c r="B139" t="s">
        <v>17</v>
      </c>
      <c r="C139" t="s">
        <v>18</v>
      </c>
      <c r="D139" t="s">
        <v>19</v>
      </c>
      <c r="E139">
        <v>98401265.73</v>
      </c>
      <c r="F139">
        <v>-6.19</v>
      </c>
      <c r="G139">
        <v>34.61</v>
      </c>
      <c r="H139">
        <v>99999998</v>
      </c>
      <c r="I139">
        <v>0.23421</v>
      </c>
      <c r="J139">
        <v>1</v>
      </c>
    </row>
    <row r="140" spans="1:10">
      <c r="A140">
        <v>139</v>
      </c>
      <c r="B140" t="s">
        <v>17</v>
      </c>
      <c r="C140" t="s">
        <v>18</v>
      </c>
      <c r="D140" t="s">
        <v>19</v>
      </c>
      <c r="E140">
        <v>326608340.44</v>
      </c>
      <c r="F140">
        <v>-6.7039</v>
      </c>
      <c r="G140">
        <v>7.18906</v>
      </c>
      <c r="H140">
        <v>1.9534</v>
      </c>
      <c r="I140">
        <v>2.01775</v>
      </c>
      <c r="J140">
        <v>1</v>
      </c>
    </row>
    <row r="141" spans="1:10">
      <c r="A141">
        <v>140</v>
      </c>
      <c r="B141" t="s">
        <v>17</v>
      </c>
      <c r="C141" t="s">
        <v>18</v>
      </c>
      <c r="D141" t="s">
        <v>19</v>
      </c>
      <c r="E141">
        <v>1972749397</v>
      </c>
      <c r="F141">
        <v>-6.7703</v>
      </c>
      <c r="G141">
        <v>19.8295</v>
      </c>
      <c r="H141">
        <v>0.44638</v>
      </c>
      <c r="I141">
        <v>1.03757</v>
      </c>
      <c r="J141">
        <v>0</v>
      </c>
    </row>
    <row r="142" spans="1:10">
      <c r="A142">
        <v>141</v>
      </c>
      <c r="B142" t="s">
        <v>17</v>
      </c>
      <c r="C142" t="s">
        <v>23</v>
      </c>
      <c r="D142" t="s">
        <v>19</v>
      </c>
      <c r="E142">
        <v>145333160</v>
      </c>
      <c r="F142">
        <v>-25.8481</v>
      </c>
      <c r="G142">
        <v>2.82118</v>
      </c>
      <c r="H142">
        <v>99999998</v>
      </c>
      <c r="I142">
        <v>0.24312</v>
      </c>
      <c r="J142">
        <v>0</v>
      </c>
    </row>
    <row r="143" spans="1:10">
      <c r="A143">
        <v>142</v>
      </c>
      <c r="B143" t="s">
        <v>17</v>
      </c>
      <c r="C143" t="s">
        <v>18</v>
      </c>
      <c r="D143" t="s">
        <v>19</v>
      </c>
      <c r="E143">
        <v>86756374.9</v>
      </c>
      <c r="F143">
        <v>1.57875</v>
      </c>
      <c r="G143">
        <v>18.3083</v>
      </c>
      <c r="H143">
        <v>20.61091</v>
      </c>
      <c r="J143">
        <v>0</v>
      </c>
    </row>
    <row r="144" spans="1:10">
      <c r="A144">
        <v>143</v>
      </c>
      <c r="B144" t="s">
        <v>17</v>
      </c>
      <c r="C144" t="s">
        <v>18</v>
      </c>
      <c r="D144" t="s">
        <v>30</v>
      </c>
      <c r="E144">
        <v>59707370.91</v>
      </c>
      <c r="F144">
        <v>-96.46233</v>
      </c>
      <c r="G144">
        <v>20.66356</v>
      </c>
      <c r="H144">
        <v>0.48558</v>
      </c>
      <c r="I144">
        <v>-0.30753</v>
      </c>
      <c r="J144">
        <v>1</v>
      </c>
    </row>
    <row r="145" spans="1:10">
      <c r="A145">
        <v>144</v>
      </c>
      <c r="B145" t="s">
        <v>20</v>
      </c>
      <c r="C145" t="s">
        <v>21</v>
      </c>
      <c r="D145" t="s">
        <v>19</v>
      </c>
      <c r="E145">
        <v>248075727.65</v>
      </c>
      <c r="F145">
        <v>-13.95</v>
      </c>
      <c r="G145">
        <v>16.45</v>
      </c>
      <c r="H145">
        <v>0.61916</v>
      </c>
      <c r="I145">
        <v>0.82005</v>
      </c>
      <c r="J145">
        <v>0</v>
      </c>
    </row>
    <row r="146" spans="1:10">
      <c r="A146">
        <v>145</v>
      </c>
      <c r="B146" t="s">
        <v>17</v>
      </c>
      <c r="C146" t="s">
        <v>18</v>
      </c>
      <c r="D146" t="s">
        <v>19</v>
      </c>
      <c r="E146">
        <v>121000319.8</v>
      </c>
      <c r="F146">
        <v>4.57</v>
      </c>
      <c r="G146">
        <v>9.67</v>
      </c>
      <c r="H146">
        <v>0.64282</v>
      </c>
      <c r="I146">
        <v>0.81273</v>
      </c>
      <c r="J146">
        <v>0</v>
      </c>
    </row>
    <row r="147" spans="1:10">
      <c r="A147">
        <v>146</v>
      </c>
      <c r="B147" t="s">
        <v>17</v>
      </c>
      <c r="C147" t="s">
        <v>18</v>
      </c>
      <c r="D147" t="s">
        <v>19</v>
      </c>
      <c r="E147">
        <v>88162836.17</v>
      </c>
      <c r="F147">
        <v>9.10922</v>
      </c>
      <c r="G147">
        <v>45.63236</v>
      </c>
      <c r="H147">
        <v>99999998</v>
      </c>
      <c r="I147">
        <v>2.16889</v>
      </c>
      <c r="J147">
        <v>0</v>
      </c>
    </row>
    <row r="148" spans="1:10">
      <c r="A148">
        <v>147</v>
      </c>
      <c r="B148" t="s">
        <v>17</v>
      </c>
      <c r="C148" t="s">
        <v>18</v>
      </c>
      <c r="D148" t="s">
        <v>19</v>
      </c>
      <c r="E148">
        <v>12352977.27</v>
      </c>
      <c r="F148">
        <v>-183.19995</v>
      </c>
      <c r="G148">
        <v>-63.17821</v>
      </c>
      <c r="H148">
        <v>99999998</v>
      </c>
      <c r="I148">
        <v>-1.52124</v>
      </c>
      <c r="J148">
        <v>0</v>
      </c>
    </row>
    <row r="149" spans="1:10">
      <c r="A149">
        <v>148</v>
      </c>
      <c r="B149" t="s">
        <v>17</v>
      </c>
      <c r="C149" t="s">
        <v>18</v>
      </c>
      <c r="D149" t="s">
        <v>19</v>
      </c>
      <c r="E149">
        <v>28355740.04</v>
      </c>
      <c r="F149">
        <v>0.17</v>
      </c>
      <c r="G149">
        <v>-6.12</v>
      </c>
      <c r="H149">
        <v>99999998</v>
      </c>
      <c r="I149">
        <v>1.00153</v>
      </c>
      <c r="J149">
        <v>0</v>
      </c>
    </row>
    <row r="150" spans="1:10">
      <c r="A150">
        <v>149</v>
      </c>
      <c r="B150" t="s">
        <v>17</v>
      </c>
      <c r="C150" t="s">
        <v>18</v>
      </c>
      <c r="D150" t="s">
        <v>19</v>
      </c>
      <c r="E150">
        <v>1481412980.97</v>
      </c>
      <c r="F150">
        <v>17.25125</v>
      </c>
      <c r="G150">
        <v>-6.73414</v>
      </c>
      <c r="H150">
        <v>0.54648</v>
      </c>
      <c r="I150">
        <v>2.69027</v>
      </c>
      <c r="J150">
        <v>0</v>
      </c>
    </row>
    <row r="151" spans="1:10">
      <c r="A151">
        <v>150</v>
      </c>
      <c r="B151" t="s">
        <v>17</v>
      </c>
      <c r="C151" t="s">
        <v>18</v>
      </c>
      <c r="D151" t="s">
        <v>19</v>
      </c>
      <c r="E151">
        <v>80668355.13</v>
      </c>
      <c r="F151">
        <v>-51.86206</v>
      </c>
      <c r="G151">
        <v>-13.74972</v>
      </c>
      <c r="H151">
        <v>0.57398</v>
      </c>
      <c r="I151">
        <v>0.92634</v>
      </c>
      <c r="J151">
        <v>0</v>
      </c>
    </row>
    <row r="152" spans="1:10">
      <c r="A152">
        <v>151</v>
      </c>
      <c r="B152" t="s">
        <v>17</v>
      </c>
      <c r="C152" t="s">
        <v>18</v>
      </c>
      <c r="D152" t="s">
        <v>19</v>
      </c>
      <c r="E152">
        <v>292278984</v>
      </c>
      <c r="F152">
        <v>-15.01642</v>
      </c>
      <c r="G152">
        <v>4.70009</v>
      </c>
      <c r="H152">
        <v>99999998</v>
      </c>
      <c r="I152">
        <v>0.37741</v>
      </c>
      <c r="J152">
        <v>0</v>
      </c>
    </row>
    <row r="153" spans="1:10">
      <c r="A153">
        <v>152</v>
      </c>
      <c r="B153" t="s">
        <v>31</v>
      </c>
      <c r="C153" t="s">
        <v>18</v>
      </c>
      <c r="D153" t="s">
        <v>32</v>
      </c>
      <c r="E153">
        <v>15602.3</v>
      </c>
      <c r="F153">
        <v>33.53685</v>
      </c>
      <c r="G153">
        <v>149.97246</v>
      </c>
      <c r="H153">
        <v>0.36847</v>
      </c>
      <c r="J153">
        <v>1</v>
      </c>
    </row>
    <row r="154" spans="1:10">
      <c r="A154">
        <v>153</v>
      </c>
      <c r="B154" t="s">
        <v>17</v>
      </c>
      <c r="C154" t="s">
        <v>18</v>
      </c>
      <c r="D154" t="s">
        <v>19</v>
      </c>
      <c r="E154">
        <v>6888057.68</v>
      </c>
      <c r="F154">
        <v>25.90248</v>
      </c>
      <c r="G154">
        <v>4651.52512</v>
      </c>
      <c r="H154">
        <v>99999998</v>
      </c>
      <c r="I154">
        <v>1.08752</v>
      </c>
      <c r="J154">
        <v>0</v>
      </c>
    </row>
    <row r="155" spans="1:10">
      <c r="A155">
        <v>154</v>
      </c>
      <c r="B155" t="s">
        <v>17</v>
      </c>
      <c r="C155" t="s">
        <v>18</v>
      </c>
      <c r="D155" t="s">
        <v>19</v>
      </c>
      <c r="E155">
        <v>1295578171</v>
      </c>
      <c r="F155">
        <v>-75.98163</v>
      </c>
      <c r="G155">
        <v>72.65137</v>
      </c>
      <c r="H155">
        <v>0.62602</v>
      </c>
      <c r="I155">
        <v>-0.43925</v>
      </c>
      <c r="J155">
        <v>0</v>
      </c>
    </row>
    <row r="156" spans="1:10">
      <c r="A156">
        <v>155</v>
      </c>
      <c r="B156" t="s">
        <v>17</v>
      </c>
      <c r="C156" t="s">
        <v>18</v>
      </c>
      <c r="D156" t="s">
        <v>19</v>
      </c>
      <c r="E156">
        <v>269032421</v>
      </c>
      <c r="F156">
        <v>3.13216</v>
      </c>
      <c r="G156">
        <v>16.9626</v>
      </c>
      <c r="H156">
        <v>0.54204</v>
      </c>
      <c r="I156">
        <v>1.01392</v>
      </c>
      <c r="J156">
        <v>0</v>
      </c>
    </row>
    <row r="157" spans="1:10">
      <c r="A157">
        <v>156</v>
      </c>
      <c r="B157" t="s">
        <v>20</v>
      </c>
      <c r="C157" t="s">
        <v>18</v>
      </c>
      <c r="D157" t="s">
        <v>19</v>
      </c>
      <c r="E157">
        <v>6720830</v>
      </c>
      <c r="F157">
        <v>-111.94434</v>
      </c>
      <c r="G157">
        <v>0.1309</v>
      </c>
      <c r="H157">
        <v>99999998</v>
      </c>
      <c r="I157">
        <v>-0.046</v>
      </c>
      <c r="J157">
        <v>0</v>
      </c>
    </row>
    <row r="158" spans="1:10">
      <c r="A158">
        <v>157</v>
      </c>
      <c r="B158" t="s">
        <v>17</v>
      </c>
      <c r="C158" t="s">
        <v>21</v>
      </c>
      <c r="D158" t="s">
        <v>19</v>
      </c>
      <c r="E158">
        <v>485497304.16</v>
      </c>
      <c r="F158">
        <v>-24.69</v>
      </c>
      <c r="G158">
        <v>2.97376</v>
      </c>
      <c r="H158">
        <v>5.10731</v>
      </c>
      <c r="I158">
        <v>0.68751</v>
      </c>
      <c r="J158">
        <v>0</v>
      </c>
    </row>
    <row r="159" spans="1:10">
      <c r="A159">
        <v>158</v>
      </c>
      <c r="B159" t="s">
        <v>17</v>
      </c>
      <c r="C159" t="s">
        <v>18</v>
      </c>
      <c r="D159" t="s">
        <v>19</v>
      </c>
      <c r="E159">
        <v>76468182.95</v>
      </c>
      <c r="F159">
        <v>41.62</v>
      </c>
      <c r="G159">
        <v>-71.50839</v>
      </c>
      <c r="H159">
        <v>2.58162</v>
      </c>
      <c r="I159">
        <v>0.93817</v>
      </c>
      <c r="J159">
        <v>0</v>
      </c>
    </row>
    <row r="160" spans="1:10">
      <c r="A160">
        <v>159</v>
      </c>
      <c r="B160" t="s">
        <v>17</v>
      </c>
      <c r="C160" t="s">
        <v>18</v>
      </c>
      <c r="D160" t="s">
        <v>19</v>
      </c>
      <c r="E160">
        <v>159399476</v>
      </c>
      <c r="F160">
        <v>16.26008</v>
      </c>
      <c r="G160">
        <v>0.63723</v>
      </c>
      <c r="H160">
        <v>27.5377</v>
      </c>
      <c r="I160">
        <v>1.13978</v>
      </c>
      <c r="J160">
        <v>0</v>
      </c>
    </row>
    <row r="161" spans="1:10">
      <c r="A161">
        <v>160</v>
      </c>
      <c r="B161" t="s">
        <v>20</v>
      </c>
      <c r="C161" t="s">
        <v>21</v>
      </c>
      <c r="D161" t="s">
        <v>32</v>
      </c>
      <c r="E161">
        <v>109145495.51</v>
      </c>
      <c r="F161">
        <v>2.24154</v>
      </c>
      <c r="G161">
        <v>9.69452</v>
      </c>
      <c r="H161">
        <v>1.46267</v>
      </c>
      <c r="I161">
        <v>0.95695</v>
      </c>
      <c r="J161">
        <v>0</v>
      </c>
    </row>
    <row r="162" spans="1:10">
      <c r="A162">
        <v>161</v>
      </c>
      <c r="B162" t="s">
        <v>17</v>
      </c>
      <c r="C162" t="s">
        <v>18</v>
      </c>
      <c r="D162" t="s">
        <v>19</v>
      </c>
      <c r="E162">
        <v>105504367</v>
      </c>
      <c r="F162">
        <v>-34.82654</v>
      </c>
      <c r="G162">
        <v>-41.19504</v>
      </c>
      <c r="H162">
        <v>1.20088</v>
      </c>
      <c r="I162">
        <v>0.63479</v>
      </c>
      <c r="J162">
        <v>0</v>
      </c>
    </row>
    <row r="163" spans="1:10">
      <c r="A163">
        <v>162</v>
      </c>
      <c r="B163" t="s">
        <v>17</v>
      </c>
      <c r="C163" t="s">
        <v>23</v>
      </c>
      <c r="D163" t="s">
        <v>32</v>
      </c>
      <c r="E163">
        <v>260243486.68</v>
      </c>
      <c r="F163">
        <v>0.53323</v>
      </c>
      <c r="G163">
        <v>-23.48263</v>
      </c>
      <c r="H163">
        <v>1.13405</v>
      </c>
      <c r="I163">
        <v>1.39988</v>
      </c>
      <c r="J163">
        <v>0</v>
      </c>
    </row>
    <row r="164" spans="1:10">
      <c r="A164">
        <v>163</v>
      </c>
      <c r="B164" t="s">
        <v>36</v>
      </c>
      <c r="C164" t="e">
        <v>#N/A</v>
      </c>
      <c r="D164" t="s">
        <v>26</v>
      </c>
      <c r="E164">
        <v>20256.44</v>
      </c>
      <c r="F164">
        <v>49.79806</v>
      </c>
      <c r="G164">
        <v>-67.99846</v>
      </c>
      <c r="J164">
        <v>0</v>
      </c>
    </row>
    <row r="165" spans="1:10">
      <c r="A165">
        <v>164</v>
      </c>
      <c r="B165" t="s">
        <v>36</v>
      </c>
      <c r="C165" t="e">
        <v>#N/A</v>
      </c>
      <c r="D165" t="s">
        <v>19</v>
      </c>
      <c r="E165">
        <v>242701118.46</v>
      </c>
      <c r="F165">
        <v>3.07</v>
      </c>
      <c r="G165">
        <v>8.35</v>
      </c>
      <c r="I165">
        <v>1.02152</v>
      </c>
      <c r="J165">
        <v>0</v>
      </c>
    </row>
    <row r="166" spans="1:10">
      <c r="A166">
        <v>165</v>
      </c>
      <c r="B166" t="s">
        <v>36</v>
      </c>
      <c r="C166" t="e">
        <v>#N/A</v>
      </c>
      <c r="D166" t="s">
        <v>24</v>
      </c>
      <c r="E166">
        <v>93678494.51</v>
      </c>
      <c r="F166">
        <v>6.76176</v>
      </c>
      <c r="G166">
        <v>-9.87271</v>
      </c>
      <c r="I166">
        <v>13.49413</v>
      </c>
      <c r="J166">
        <v>0</v>
      </c>
    </row>
    <row r="167" spans="1:10">
      <c r="A167">
        <v>166</v>
      </c>
      <c r="B167" t="s">
        <v>36</v>
      </c>
      <c r="C167" t="e">
        <v>#N/A</v>
      </c>
      <c r="D167" t="s">
        <v>19</v>
      </c>
      <c r="E167">
        <v>49476390.11</v>
      </c>
      <c r="F167">
        <v>-1976.86489</v>
      </c>
      <c r="G167">
        <v>0</v>
      </c>
      <c r="I167">
        <v>0.13983</v>
      </c>
      <c r="J167">
        <v>0</v>
      </c>
    </row>
    <row r="168" spans="1:10">
      <c r="A168">
        <v>167</v>
      </c>
      <c r="B168" t="s">
        <v>36</v>
      </c>
      <c r="C168" t="e">
        <v>#N/A</v>
      </c>
      <c r="D168" t="s">
        <v>19</v>
      </c>
      <c r="E168">
        <v>263091886.09</v>
      </c>
      <c r="F168">
        <v>40.88786</v>
      </c>
      <c r="G168">
        <v>48.89391</v>
      </c>
      <c r="I168">
        <v>5.82644</v>
      </c>
      <c r="J168">
        <v>0</v>
      </c>
    </row>
    <row r="169" spans="1:10">
      <c r="A169">
        <v>168</v>
      </c>
      <c r="B169" t="s">
        <v>37</v>
      </c>
      <c r="C169" t="e">
        <v>#N/A</v>
      </c>
      <c r="D169" t="s">
        <v>24</v>
      </c>
      <c r="E169">
        <v>526538727.77</v>
      </c>
      <c r="F169">
        <v>-61.91541</v>
      </c>
      <c r="G169">
        <v>93.28885</v>
      </c>
      <c r="I169">
        <v>-0.07606</v>
      </c>
      <c r="J169">
        <v>0</v>
      </c>
    </row>
    <row r="170" spans="1:10">
      <c r="A170">
        <v>169</v>
      </c>
      <c r="B170" t="s">
        <v>36</v>
      </c>
      <c r="C170" t="e">
        <v>#N/A</v>
      </c>
      <c r="D170" t="s">
        <v>27</v>
      </c>
      <c r="E170">
        <v>6417840020</v>
      </c>
      <c r="F170">
        <v>20.20371</v>
      </c>
      <c r="G170">
        <v>3.70297</v>
      </c>
      <c r="I170">
        <v>0.99081</v>
      </c>
      <c r="J170">
        <v>0</v>
      </c>
    </row>
    <row r="171" spans="1:10">
      <c r="A171">
        <v>170</v>
      </c>
      <c r="B171" t="s">
        <v>36</v>
      </c>
      <c r="C171" t="e">
        <v>#N/A</v>
      </c>
      <c r="D171" t="s">
        <v>24</v>
      </c>
      <c r="E171">
        <v>66918650.51</v>
      </c>
      <c r="F171">
        <v>-349.19603</v>
      </c>
      <c r="G171">
        <v>28.38716</v>
      </c>
      <c r="J171">
        <v>1</v>
      </c>
    </row>
    <row r="172" spans="1:10">
      <c r="A172">
        <v>171</v>
      </c>
      <c r="B172" t="s">
        <v>17</v>
      </c>
      <c r="C172" t="s">
        <v>18</v>
      </c>
      <c r="D172" t="s">
        <v>19</v>
      </c>
      <c r="E172">
        <v>158129493</v>
      </c>
      <c r="F172">
        <v>-47.52515</v>
      </c>
      <c r="G172">
        <v>-11.66258</v>
      </c>
      <c r="H172">
        <v>99999998</v>
      </c>
      <c r="I172">
        <v>0.1771</v>
      </c>
      <c r="J172">
        <v>0</v>
      </c>
    </row>
    <row r="173" spans="1:10">
      <c r="A173">
        <v>172</v>
      </c>
      <c r="B173" t="s">
        <v>36</v>
      </c>
      <c r="C173" t="e">
        <v>#N/A</v>
      </c>
      <c r="D173" t="s">
        <v>24</v>
      </c>
      <c r="E173">
        <v>73333937.43</v>
      </c>
      <c r="F173">
        <v>-101.0307</v>
      </c>
      <c r="G173">
        <v>242.02889</v>
      </c>
      <c r="I173">
        <v>0.60277</v>
      </c>
      <c r="J173">
        <v>0</v>
      </c>
    </row>
    <row r="174" spans="1:10">
      <c r="A174">
        <v>173</v>
      </c>
      <c r="B174" t="s">
        <v>36</v>
      </c>
      <c r="C174" t="e">
        <v>#N/A</v>
      </c>
      <c r="D174" t="s">
        <v>38</v>
      </c>
      <c r="E174">
        <v>62220105.14</v>
      </c>
      <c r="F174">
        <v>1.89</v>
      </c>
      <c r="G174">
        <v>-2.88</v>
      </c>
      <c r="I174">
        <v>0.74276</v>
      </c>
      <c r="J174">
        <v>1</v>
      </c>
    </row>
    <row r="175" spans="1:10">
      <c r="A175">
        <v>174</v>
      </c>
      <c r="B175" t="s">
        <v>36</v>
      </c>
      <c r="C175" t="e">
        <v>#N/A</v>
      </c>
      <c r="D175" t="s">
        <v>39</v>
      </c>
      <c r="E175">
        <v>291811437.57</v>
      </c>
      <c r="F175">
        <v>-3.17906</v>
      </c>
      <c r="G175">
        <v>7.72384</v>
      </c>
      <c r="I175">
        <v>0.89412</v>
      </c>
      <c r="J175">
        <v>0</v>
      </c>
    </row>
    <row r="176" spans="1:10">
      <c r="A176">
        <v>175</v>
      </c>
      <c r="B176" t="s">
        <v>36</v>
      </c>
      <c r="C176" t="e">
        <v>#N/A</v>
      </c>
      <c r="D176" t="s">
        <v>26</v>
      </c>
      <c r="E176">
        <v>1282628609</v>
      </c>
      <c r="F176">
        <v>-30.96</v>
      </c>
      <c r="G176">
        <v>444.64</v>
      </c>
      <c r="I176">
        <v>0.58131</v>
      </c>
      <c r="J176">
        <v>0</v>
      </c>
    </row>
    <row r="177" spans="1:10">
      <c r="A177">
        <v>176</v>
      </c>
      <c r="B177" t="s">
        <v>36</v>
      </c>
      <c r="C177" t="e">
        <v>#N/A</v>
      </c>
      <c r="D177" t="s">
        <v>39</v>
      </c>
      <c r="E177">
        <v>87140657.98</v>
      </c>
      <c r="F177">
        <v>2.796</v>
      </c>
      <c r="G177">
        <v>-10.0429</v>
      </c>
      <c r="J177">
        <v>0</v>
      </c>
    </row>
    <row r="178" spans="1:10">
      <c r="A178">
        <v>177</v>
      </c>
      <c r="B178" t="s">
        <v>36</v>
      </c>
      <c r="C178" t="e">
        <v>#N/A</v>
      </c>
      <c r="D178" t="s">
        <v>26</v>
      </c>
      <c r="E178">
        <v>34255749.52</v>
      </c>
      <c r="F178">
        <v>-140.49492</v>
      </c>
      <c r="G178">
        <v>8.01211</v>
      </c>
      <c r="I178">
        <v>-0.72338</v>
      </c>
      <c r="J178">
        <v>0</v>
      </c>
    </row>
    <row r="179" spans="1:10">
      <c r="A179">
        <v>178</v>
      </c>
      <c r="B179" t="s">
        <v>36</v>
      </c>
      <c r="C179" t="e">
        <v>#N/A</v>
      </c>
      <c r="D179" t="s">
        <v>19</v>
      </c>
      <c r="E179">
        <v>118923275.22</v>
      </c>
      <c r="F179">
        <v>4.1</v>
      </c>
      <c r="G179">
        <v>6.59</v>
      </c>
      <c r="I179">
        <v>0.79619</v>
      </c>
      <c r="J179">
        <v>0</v>
      </c>
    </row>
    <row r="180" spans="1:10">
      <c r="A180">
        <v>179</v>
      </c>
      <c r="B180" t="s">
        <v>36</v>
      </c>
      <c r="C180" t="e">
        <v>#N/A</v>
      </c>
      <c r="D180" t="s">
        <v>39</v>
      </c>
      <c r="E180">
        <v>404406778.67</v>
      </c>
      <c r="F180">
        <v>26.44333</v>
      </c>
      <c r="G180">
        <v>4.04561</v>
      </c>
      <c r="I180">
        <v>2.37461</v>
      </c>
      <c r="J180">
        <v>0</v>
      </c>
    </row>
    <row r="181" spans="1:10">
      <c r="A181">
        <v>180</v>
      </c>
      <c r="B181" t="s">
        <v>36</v>
      </c>
      <c r="C181" t="e">
        <v>#N/A</v>
      </c>
      <c r="D181" t="s">
        <v>19</v>
      </c>
      <c r="E181">
        <v>185136268</v>
      </c>
      <c r="F181">
        <v>-20.01561</v>
      </c>
      <c r="G181">
        <v>15.42049</v>
      </c>
      <c r="I181">
        <v>0.2101</v>
      </c>
      <c r="J181">
        <v>0</v>
      </c>
    </row>
    <row r="182" spans="1:10">
      <c r="A182">
        <v>181</v>
      </c>
      <c r="B182" t="s">
        <v>36</v>
      </c>
      <c r="C182" t="e">
        <v>#N/A</v>
      </c>
      <c r="D182" t="s">
        <v>19</v>
      </c>
      <c r="E182">
        <v>343546069.62</v>
      </c>
      <c r="F182">
        <v>-20.43</v>
      </c>
      <c r="G182">
        <v>14.94</v>
      </c>
      <c r="I182">
        <v>1.51564</v>
      </c>
      <c r="J182">
        <v>1</v>
      </c>
    </row>
    <row r="183" spans="1:10">
      <c r="A183">
        <v>182</v>
      </c>
      <c r="B183" t="s">
        <v>37</v>
      </c>
      <c r="C183" t="e">
        <v>#N/A</v>
      </c>
      <c r="D183" t="s">
        <v>38</v>
      </c>
      <c r="E183">
        <v>257594398.2</v>
      </c>
      <c r="F183">
        <v>-30.64</v>
      </c>
      <c r="G183">
        <v>6.77</v>
      </c>
      <c r="I183">
        <v>0.70706</v>
      </c>
      <c r="J183">
        <v>0</v>
      </c>
    </row>
    <row r="184" spans="1:10">
      <c r="A184">
        <v>183</v>
      </c>
      <c r="B184" t="s">
        <v>36</v>
      </c>
      <c r="C184" t="e">
        <v>#N/A</v>
      </c>
      <c r="D184" t="s">
        <v>19</v>
      </c>
      <c r="E184">
        <v>2680</v>
      </c>
      <c r="F184">
        <v>99999999</v>
      </c>
      <c r="G184">
        <v>99999999</v>
      </c>
      <c r="I184">
        <v>-0.53623</v>
      </c>
      <c r="J184">
        <v>0</v>
      </c>
    </row>
    <row r="185" spans="1:10">
      <c r="A185">
        <v>184</v>
      </c>
      <c r="B185" t="s">
        <v>36</v>
      </c>
      <c r="C185" t="e">
        <v>#N/A</v>
      </c>
      <c r="D185" t="s">
        <v>19</v>
      </c>
      <c r="E185">
        <v>23452919.7</v>
      </c>
      <c r="F185">
        <v>-91.39573</v>
      </c>
      <c r="G185">
        <v>-16.83937</v>
      </c>
      <c r="I185">
        <v>-0.43239</v>
      </c>
      <c r="J185">
        <v>0</v>
      </c>
    </row>
    <row r="186" spans="1:10">
      <c r="A186">
        <v>185</v>
      </c>
      <c r="B186" t="s">
        <v>36</v>
      </c>
      <c r="C186" t="e">
        <v>#N/A</v>
      </c>
      <c r="D186" t="s">
        <v>19</v>
      </c>
      <c r="F186">
        <v>99999999</v>
      </c>
      <c r="G186">
        <v>-41.145</v>
      </c>
      <c r="H186">
        <v>99999999</v>
      </c>
      <c r="I186">
        <v>-1.42052</v>
      </c>
      <c r="J186">
        <v>0</v>
      </c>
    </row>
    <row r="187" spans="1:10">
      <c r="A187">
        <v>186</v>
      </c>
      <c r="B187" t="s">
        <v>36</v>
      </c>
      <c r="C187" t="e">
        <v>#N/A</v>
      </c>
      <c r="D187" t="s">
        <v>19</v>
      </c>
      <c r="E187">
        <v>50239809.13</v>
      </c>
      <c r="F187">
        <v>-352.78866</v>
      </c>
      <c r="G187">
        <v>-26.73826</v>
      </c>
      <c r="I187">
        <v>-0.06061</v>
      </c>
      <c r="J187">
        <v>0</v>
      </c>
    </row>
    <row r="188" spans="1:10">
      <c r="A188">
        <v>187</v>
      </c>
      <c r="B188" t="s">
        <v>36</v>
      </c>
      <c r="C188" t="e">
        <v>#N/A</v>
      </c>
      <c r="D188" t="s">
        <v>19</v>
      </c>
      <c r="E188">
        <v>91624490.94</v>
      </c>
      <c r="F188">
        <v>-30.62578</v>
      </c>
      <c r="G188">
        <v>-12.24438</v>
      </c>
      <c r="I188">
        <v>0.32498</v>
      </c>
      <c r="J188">
        <v>0</v>
      </c>
    </row>
    <row r="189" spans="1:10">
      <c r="A189">
        <v>188</v>
      </c>
      <c r="B189" t="s">
        <v>36</v>
      </c>
      <c r="C189" t="e">
        <v>#N/A</v>
      </c>
      <c r="D189" t="s">
        <v>19</v>
      </c>
      <c r="E189">
        <v>774391540.82</v>
      </c>
      <c r="F189">
        <v>-4.25</v>
      </c>
      <c r="G189">
        <v>-21.22</v>
      </c>
      <c r="I189">
        <v>0.62647</v>
      </c>
      <c r="J189">
        <v>0</v>
      </c>
    </row>
    <row r="190" spans="1:10">
      <c r="A190">
        <v>189</v>
      </c>
      <c r="B190" t="s">
        <v>36</v>
      </c>
      <c r="C190" t="e">
        <v>#N/A</v>
      </c>
      <c r="D190" t="s">
        <v>19</v>
      </c>
      <c r="E190">
        <v>29590624.7</v>
      </c>
      <c r="F190">
        <v>0.77608</v>
      </c>
      <c r="G190">
        <v>14.92191</v>
      </c>
      <c r="I190">
        <v>0.80454</v>
      </c>
      <c r="J190">
        <v>0</v>
      </c>
    </row>
    <row r="191" spans="1:10">
      <c r="A191">
        <v>190</v>
      </c>
      <c r="B191" t="s">
        <v>36</v>
      </c>
      <c r="C191" t="e">
        <v>#N/A</v>
      </c>
      <c r="D191" t="s">
        <v>19</v>
      </c>
      <c r="E191">
        <v>101136081.78</v>
      </c>
      <c r="F191">
        <v>-699.06121</v>
      </c>
      <c r="G191">
        <v>99999999</v>
      </c>
      <c r="I191">
        <v>-0.5814</v>
      </c>
      <c r="J191">
        <v>0</v>
      </c>
    </row>
    <row r="192" spans="1:10">
      <c r="A192">
        <v>191</v>
      </c>
      <c r="B192" t="s">
        <v>37</v>
      </c>
      <c r="C192" t="e">
        <v>#N/A</v>
      </c>
      <c r="D192" t="s">
        <v>32</v>
      </c>
      <c r="E192">
        <v>116166903.35</v>
      </c>
      <c r="F192">
        <v>0.78</v>
      </c>
      <c r="G192">
        <v>12.9</v>
      </c>
      <c r="I192">
        <v>0.99381</v>
      </c>
      <c r="J192">
        <v>0</v>
      </c>
    </row>
    <row r="193" spans="1:10">
      <c r="A193">
        <v>192</v>
      </c>
      <c r="B193" t="s">
        <v>36</v>
      </c>
      <c r="C193" t="e">
        <v>#N/A</v>
      </c>
      <c r="D193" t="s">
        <v>39</v>
      </c>
      <c r="F193">
        <v>31.49657</v>
      </c>
      <c r="G193">
        <v>-8.03716</v>
      </c>
      <c r="J193">
        <v>0</v>
      </c>
    </row>
    <row r="194" spans="1:10">
      <c r="A194">
        <v>193</v>
      </c>
      <c r="B194" t="s">
        <v>36</v>
      </c>
      <c r="C194" t="e">
        <v>#N/A</v>
      </c>
      <c r="D194" t="s">
        <v>19</v>
      </c>
      <c r="E194">
        <v>95460306.39</v>
      </c>
      <c r="F194">
        <v>-19.19233</v>
      </c>
      <c r="G194">
        <v>31.27145</v>
      </c>
      <c r="I194">
        <v>1.51289</v>
      </c>
      <c r="J194">
        <v>0</v>
      </c>
    </row>
    <row r="195" spans="1:10">
      <c r="A195">
        <v>194</v>
      </c>
      <c r="B195" t="s">
        <v>36</v>
      </c>
      <c r="C195" t="e">
        <v>#N/A</v>
      </c>
      <c r="D195" t="s">
        <v>19</v>
      </c>
      <c r="E195">
        <v>322436010</v>
      </c>
      <c r="F195">
        <v>2.11765</v>
      </c>
      <c r="G195">
        <v>6.47808</v>
      </c>
      <c r="I195">
        <v>0.94701</v>
      </c>
      <c r="J195">
        <v>0</v>
      </c>
    </row>
    <row r="196" spans="1:10">
      <c r="A196">
        <v>195</v>
      </c>
      <c r="B196" t="s">
        <v>36</v>
      </c>
      <c r="C196" t="e">
        <v>#N/A</v>
      </c>
      <c r="D196" t="s">
        <v>19</v>
      </c>
      <c r="E196">
        <v>1314463599.53</v>
      </c>
      <c r="F196">
        <v>5.65305</v>
      </c>
      <c r="G196">
        <v>-4.24162</v>
      </c>
      <c r="I196">
        <v>0.78501</v>
      </c>
      <c r="J196">
        <v>0</v>
      </c>
    </row>
    <row r="197" spans="1:10">
      <c r="A197">
        <v>196</v>
      </c>
      <c r="B197" t="s">
        <v>36</v>
      </c>
      <c r="C197" t="e">
        <v>#N/A</v>
      </c>
      <c r="D197" t="s">
        <v>26</v>
      </c>
      <c r="E197">
        <v>52257964.66</v>
      </c>
      <c r="F197">
        <v>1.20937</v>
      </c>
      <c r="G197">
        <v>19.88614</v>
      </c>
      <c r="I197">
        <v>1.33835</v>
      </c>
      <c r="J197">
        <v>0</v>
      </c>
    </row>
    <row r="198" spans="1:10">
      <c r="A198">
        <v>197</v>
      </c>
      <c r="B198" t="s">
        <v>36</v>
      </c>
      <c r="C198" t="e">
        <v>#N/A</v>
      </c>
      <c r="D198" t="s">
        <v>19</v>
      </c>
      <c r="F198">
        <v>-349.19603</v>
      </c>
      <c r="G198">
        <v>28.38716</v>
      </c>
      <c r="J198">
        <v>1</v>
      </c>
    </row>
    <row r="199" spans="1:10">
      <c r="A199">
        <v>198</v>
      </c>
      <c r="B199" t="s">
        <v>36</v>
      </c>
      <c r="C199" t="e">
        <v>#N/A</v>
      </c>
      <c r="D199" t="s">
        <v>19</v>
      </c>
      <c r="E199">
        <v>87140657.98</v>
      </c>
      <c r="F199">
        <v>2.796</v>
      </c>
      <c r="G199">
        <v>-10.0429</v>
      </c>
      <c r="J199">
        <v>0</v>
      </c>
    </row>
    <row r="200" spans="1:10">
      <c r="A200">
        <v>199</v>
      </c>
      <c r="B200" t="s">
        <v>36</v>
      </c>
      <c r="C200" t="e">
        <v>#N/A</v>
      </c>
      <c r="D200" t="s">
        <v>26</v>
      </c>
      <c r="E200">
        <v>215172242.99</v>
      </c>
      <c r="F200">
        <v>2.59617</v>
      </c>
      <c r="G200">
        <v>-16.11281</v>
      </c>
      <c r="I200">
        <v>0.26065</v>
      </c>
      <c r="J200">
        <v>0</v>
      </c>
    </row>
    <row r="201" spans="1:10">
      <c r="A201">
        <v>200</v>
      </c>
      <c r="B201" t="s">
        <v>29</v>
      </c>
      <c r="C201" t="e">
        <v>#N/A</v>
      </c>
      <c r="D201" t="s">
        <v>29</v>
      </c>
      <c r="E201">
        <v>6651465034</v>
      </c>
      <c r="F201">
        <v>9.11942</v>
      </c>
      <c r="G201">
        <v>27.31463</v>
      </c>
      <c r="I201">
        <v>0.80233</v>
      </c>
      <c r="J201">
        <v>0</v>
      </c>
    </row>
    <row r="202" spans="1:10">
      <c r="A202">
        <v>201</v>
      </c>
      <c r="B202" t="s">
        <v>36</v>
      </c>
      <c r="C202" t="e">
        <v>#N/A</v>
      </c>
      <c r="D202" t="s">
        <v>19</v>
      </c>
      <c r="E202">
        <v>149224217.36</v>
      </c>
      <c r="F202">
        <v>99999999</v>
      </c>
      <c r="G202">
        <v>99999999</v>
      </c>
      <c r="H202">
        <v>99999999</v>
      </c>
      <c r="I202">
        <v>-0.74889</v>
      </c>
      <c r="J202">
        <v>0</v>
      </c>
    </row>
    <row r="203" spans="1:10">
      <c r="A203">
        <v>202</v>
      </c>
      <c r="B203" t="s">
        <v>36</v>
      </c>
      <c r="C203" t="e">
        <v>#N/A</v>
      </c>
      <c r="D203" t="s">
        <v>19</v>
      </c>
      <c r="E203">
        <v>60915270.21</v>
      </c>
      <c r="F203">
        <v>1.35145</v>
      </c>
      <c r="G203">
        <v>99999999</v>
      </c>
      <c r="I203">
        <v>0.76532</v>
      </c>
      <c r="J203">
        <v>0</v>
      </c>
    </row>
    <row r="204" spans="1:10">
      <c r="A204">
        <v>203</v>
      </c>
      <c r="B204" t="s">
        <v>36</v>
      </c>
      <c r="C204" t="e">
        <v>#N/A</v>
      </c>
      <c r="D204" t="s">
        <v>19</v>
      </c>
      <c r="E204">
        <v>57422209.91</v>
      </c>
      <c r="F204">
        <v>5.41026</v>
      </c>
      <c r="G204">
        <v>11.81592</v>
      </c>
      <c r="I204">
        <v>0.92751</v>
      </c>
      <c r="J204">
        <v>0</v>
      </c>
    </row>
    <row r="205" spans="1:10">
      <c r="A205">
        <v>204</v>
      </c>
      <c r="B205" t="s">
        <v>36</v>
      </c>
      <c r="C205" t="e">
        <v>#N/A</v>
      </c>
      <c r="D205" t="s">
        <v>19</v>
      </c>
      <c r="F205">
        <v>99999999</v>
      </c>
      <c r="G205">
        <v>99999999</v>
      </c>
      <c r="J205">
        <v>0</v>
      </c>
    </row>
    <row r="206" spans="1:10">
      <c r="A206">
        <v>205</v>
      </c>
      <c r="B206" t="s">
        <v>36</v>
      </c>
      <c r="C206" t="e">
        <v>#N/A</v>
      </c>
      <c r="D206" t="s">
        <v>19</v>
      </c>
      <c r="E206">
        <v>35614418.63</v>
      </c>
      <c r="F206">
        <v>-108.68979</v>
      </c>
      <c r="G206">
        <v>-41.90243</v>
      </c>
      <c r="I206">
        <v>-0.314</v>
      </c>
      <c r="J206">
        <v>0</v>
      </c>
    </row>
    <row r="207" spans="1:10">
      <c r="A207">
        <v>206</v>
      </c>
      <c r="B207" t="s">
        <v>36</v>
      </c>
      <c r="C207" t="e">
        <v>#N/A</v>
      </c>
      <c r="D207" t="s">
        <v>26</v>
      </c>
      <c r="E207">
        <v>374243359.63</v>
      </c>
      <c r="F207">
        <v>-10.30897</v>
      </c>
      <c r="G207">
        <v>65.26646</v>
      </c>
      <c r="I207">
        <v>0.91333</v>
      </c>
      <c r="J207">
        <v>0</v>
      </c>
    </row>
    <row r="208" spans="1:10">
      <c r="A208">
        <v>207</v>
      </c>
      <c r="B208" t="s">
        <v>36</v>
      </c>
      <c r="C208" t="e">
        <v>#N/A</v>
      </c>
      <c r="D208" t="s">
        <v>19</v>
      </c>
      <c r="E208">
        <v>370809150.46</v>
      </c>
      <c r="F208">
        <v>-34.78196</v>
      </c>
      <c r="G208">
        <v>-14.24246</v>
      </c>
      <c r="I208">
        <v>1.05829</v>
      </c>
      <c r="J208">
        <v>0</v>
      </c>
    </row>
    <row r="209" spans="1:10">
      <c r="A209">
        <v>208</v>
      </c>
      <c r="B209" t="s">
        <v>36</v>
      </c>
      <c r="C209" t="e">
        <v>#N/A</v>
      </c>
      <c r="D209" t="s">
        <v>26</v>
      </c>
      <c r="E209">
        <v>1479038545.87</v>
      </c>
      <c r="F209">
        <v>0.95718</v>
      </c>
      <c r="G209">
        <v>-15.15405</v>
      </c>
      <c r="I209">
        <v>1.52316</v>
      </c>
      <c r="J209">
        <v>0</v>
      </c>
    </row>
    <row r="210" spans="1:10">
      <c r="A210">
        <v>209</v>
      </c>
      <c r="B210" t="s">
        <v>36</v>
      </c>
      <c r="C210" t="e">
        <v>#N/A</v>
      </c>
      <c r="D210" t="s">
        <v>19</v>
      </c>
      <c r="E210">
        <v>333987402.05</v>
      </c>
      <c r="F210">
        <v>0.81655</v>
      </c>
      <c r="G210">
        <v>0.20503</v>
      </c>
      <c r="I210">
        <v>0.86942</v>
      </c>
      <c r="J210">
        <v>0</v>
      </c>
    </row>
    <row r="211" spans="1:10">
      <c r="A211">
        <v>210</v>
      </c>
      <c r="B211" t="s">
        <v>36</v>
      </c>
      <c r="C211" t="e">
        <v>#N/A</v>
      </c>
      <c r="D211" t="s">
        <v>19</v>
      </c>
      <c r="E211">
        <v>54395</v>
      </c>
      <c r="F211">
        <v>-92.48699</v>
      </c>
      <c r="G211">
        <v>-20.59585</v>
      </c>
      <c r="J211">
        <v>0</v>
      </c>
    </row>
    <row r="212" spans="1:10">
      <c r="A212">
        <v>211</v>
      </c>
      <c r="B212" t="s">
        <v>36</v>
      </c>
      <c r="C212" t="e">
        <v>#N/A</v>
      </c>
      <c r="D212" t="s">
        <v>19</v>
      </c>
      <c r="E212">
        <v>95468867.8</v>
      </c>
      <c r="F212">
        <v>-12.06857</v>
      </c>
      <c r="G212">
        <v>7.27553</v>
      </c>
      <c r="I212">
        <v>1.02771</v>
      </c>
      <c r="J212">
        <v>0</v>
      </c>
    </row>
    <row r="213" spans="1:10">
      <c r="A213">
        <v>212</v>
      </c>
      <c r="B213" t="s">
        <v>36</v>
      </c>
      <c r="C213" t="e">
        <v>#N/A</v>
      </c>
      <c r="D213" t="s">
        <v>19</v>
      </c>
      <c r="E213">
        <v>254189688.5</v>
      </c>
      <c r="F213">
        <v>-12.80594</v>
      </c>
      <c r="G213">
        <v>-6.065</v>
      </c>
      <c r="I213">
        <v>0.54583</v>
      </c>
      <c r="J213">
        <v>0</v>
      </c>
    </row>
    <row r="214" spans="1:10">
      <c r="A214">
        <v>213</v>
      </c>
      <c r="B214" t="s">
        <v>36</v>
      </c>
      <c r="C214" t="e">
        <v>#N/A</v>
      </c>
      <c r="D214" t="s">
        <v>26</v>
      </c>
      <c r="E214">
        <v>234620809.67</v>
      </c>
      <c r="F214">
        <v>2.83604</v>
      </c>
      <c r="G214">
        <v>782.94073</v>
      </c>
      <c r="I214">
        <v>0.54899</v>
      </c>
      <c r="J214">
        <v>0</v>
      </c>
    </row>
    <row r="215" spans="1:10">
      <c r="A215">
        <v>214</v>
      </c>
      <c r="B215" t="s">
        <v>36</v>
      </c>
      <c r="C215" t="e">
        <v>#N/A</v>
      </c>
      <c r="D215" t="s">
        <v>19</v>
      </c>
      <c r="E215">
        <v>13473602.14</v>
      </c>
      <c r="F215">
        <v>-47.4711</v>
      </c>
      <c r="G215">
        <v>779.93836</v>
      </c>
      <c r="I215">
        <v>-1.78969</v>
      </c>
      <c r="J215">
        <v>0</v>
      </c>
    </row>
    <row r="216" spans="1:10">
      <c r="A216">
        <v>215</v>
      </c>
      <c r="B216" t="s">
        <v>36</v>
      </c>
      <c r="C216" t="e">
        <v>#N/A</v>
      </c>
      <c r="D216" t="s">
        <v>19</v>
      </c>
      <c r="E216">
        <v>68074941.06</v>
      </c>
      <c r="F216">
        <v>2.44104</v>
      </c>
      <c r="G216">
        <v>-23.31732</v>
      </c>
      <c r="J216">
        <v>0</v>
      </c>
    </row>
    <row r="217" spans="1:10">
      <c r="A217">
        <v>216</v>
      </c>
      <c r="B217" t="s">
        <v>36</v>
      </c>
      <c r="C217" t="e">
        <v>#N/A</v>
      </c>
      <c r="D217" t="s">
        <v>19</v>
      </c>
      <c r="E217">
        <v>30942921.79</v>
      </c>
      <c r="F217">
        <v>-2.05079</v>
      </c>
      <c r="G217">
        <v>-15.9755</v>
      </c>
      <c r="I217">
        <v>1.18929</v>
      </c>
      <c r="J217">
        <v>0</v>
      </c>
    </row>
    <row r="218" spans="1:10">
      <c r="A218">
        <v>217</v>
      </c>
      <c r="B218" t="s">
        <v>36</v>
      </c>
      <c r="C218" t="e">
        <v>#N/A</v>
      </c>
      <c r="D218" t="s">
        <v>19</v>
      </c>
      <c r="E218">
        <v>79818120</v>
      </c>
      <c r="F218">
        <v>-3.10136</v>
      </c>
      <c r="G218">
        <v>-8.89138</v>
      </c>
      <c r="I218">
        <v>0.83296</v>
      </c>
      <c r="J218">
        <v>0</v>
      </c>
    </row>
    <row r="219" spans="1:10">
      <c r="A219">
        <v>218</v>
      </c>
      <c r="B219" t="s">
        <v>36</v>
      </c>
      <c r="C219" t="e">
        <v>#N/A</v>
      </c>
      <c r="D219" t="s">
        <v>27</v>
      </c>
      <c r="F219">
        <v>99999999</v>
      </c>
      <c r="G219">
        <v>99999999</v>
      </c>
      <c r="J219">
        <v>0</v>
      </c>
    </row>
    <row r="220" spans="1:10">
      <c r="A220">
        <v>219</v>
      </c>
      <c r="B220" t="s">
        <v>36</v>
      </c>
      <c r="C220" t="e">
        <v>#N/A</v>
      </c>
      <c r="D220" t="s">
        <v>19</v>
      </c>
      <c r="E220">
        <v>186246592.24</v>
      </c>
      <c r="F220">
        <v>18.90665</v>
      </c>
      <c r="G220">
        <v>4.32751</v>
      </c>
      <c r="I220">
        <v>1.63526</v>
      </c>
      <c r="J220">
        <v>0</v>
      </c>
    </row>
    <row r="221" spans="1:10">
      <c r="A221">
        <v>220</v>
      </c>
      <c r="B221" t="s">
        <v>37</v>
      </c>
      <c r="C221" t="e">
        <v>#N/A</v>
      </c>
      <c r="D221" t="s">
        <v>19</v>
      </c>
      <c r="E221">
        <v>1381567738.1</v>
      </c>
      <c r="F221">
        <v>8.20841</v>
      </c>
      <c r="G221">
        <v>9.17967</v>
      </c>
      <c r="I221">
        <v>0.84759</v>
      </c>
      <c r="J221">
        <v>0</v>
      </c>
    </row>
    <row r="222" spans="1:10">
      <c r="A222">
        <v>221</v>
      </c>
      <c r="B222" t="s">
        <v>36</v>
      </c>
      <c r="C222" t="e">
        <v>#N/A</v>
      </c>
      <c r="D222" t="s">
        <v>19</v>
      </c>
      <c r="E222">
        <v>321441172.43</v>
      </c>
      <c r="F222">
        <v>-39.31733</v>
      </c>
      <c r="G222">
        <v>2.62369</v>
      </c>
      <c r="I222">
        <v>0.46485</v>
      </c>
      <c r="J222">
        <v>0</v>
      </c>
    </row>
    <row r="223" spans="1:10">
      <c r="A223">
        <v>222</v>
      </c>
      <c r="B223" t="s">
        <v>36</v>
      </c>
      <c r="C223" t="e">
        <v>#N/A</v>
      </c>
      <c r="D223" t="s">
        <v>19</v>
      </c>
      <c r="E223">
        <v>74058900.45</v>
      </c>
      <c r="F223">
        <v>-503.57364</v>
      </c>
      <c r="G223">
        <v>-82.55582</v>
      </c>
      <c r="H223">
        <v>99999999</v>
      </c>
      <c r="I223">
        <v>-0.00735</v>
      </c>
      <c r="J223">
        <v>1</v>
      </c>
    </row>
    <row r="224" spans="1:10">
      <c r="A224">
        <v>223</v>
      </c>
      <c r="B224" t="s">
        <v>36</v>
      </c>
      <c r="C224" t="e">
        <v>#N/A</v>
      </c>
      <c r="D224" t="s">
        <v>19</v>
      </c>
      <c r="E224">
        <v>196129276</v>
      </c>
      <c r="F224">
        <v>-33.65161</v>
      </c>
      <c r="G224">
        <v>-7.51176</v>
      </c>
      <c r="I224">
        <v>-0.01326</v>
      </c>
      <c r="J224">
        <v>0</v>
      </c>
    </row>
    <row r="225" spans="1:10">
      <c r="A225">
        <v>224</v>
      </c>
      <c r="B225" t="s">
        <v>36</v>
      </c>
      <c r="C225" t="e">
        <v>#N/A</v>
      </c>
      <c r="D225" t="s">
        <v>19</v>
      </c>
      <c r="E225">
        <v>217771361.05</v>
      </c>
      <c r="F225">
        <v>-63.79803</v>
      </c>
      <c r="G225">
        <v>-28.39632</v>
      </c>
      <c r="I225">
        <v>0.23923</v>
      </c>
      <c r="J225">
        <v>0</v>
      </c>
    </row>
    <row r="226" spans="1:10">
      <c r="A226">
        <v>225</v>
      </c>
      <c r="B226" t="s">
        <v>36</v>
      </c>
      <c r="C226" t="e">
        <v>#N/A</v>
      </c>
      <c r="D226" t="s">
        <v>19</v>
      </c>
      <c r="E226">
        <v>89098270.25</v>
      </c>
      <c r="F226">
        <v>-37.21712</v>
      </c>
      <c r="G226">
        <v>-10.13765</v>
      </c>
      <c r="H226">
        <v>99999999</v>
      </c>
      <c r="I226">
        <v>0.97927</v>
      </c>
      <c r="J226">
        <v>0</v>
      </c>
    </row>
    <row r="227" spans="1:10">
      <c r="A227">
        <v>226</v>
      </c>
      <c r="B227" t="s">
        <v>37</v>
      </c>
      <c r="C227" t="e">
        <v>#N/A</v>
      </c>
      <c r="D227" t="s">
        <v>30</v>
      </c>
      <c r="E227">
        <v>125129703.05</v>
      </c>
      <c r="F227">
        <v>-10.99887</v>
      </c>
      <c r="G227">
        <v>-3.46698</v>
      </c>
      <c r="H227">
        <v>99999999</v>
      </c>
      <c r="I227">
        <v>0.57315</v>
      </c>
      <c r="J227">
        <v>0</v>
      </c>
    </row>
    <row r="228" spans="1:10">
      <c r="A228">
        <v>227</v>
      </c>
      <c r="B228" t="s">
        <v>36</v>
      </c>
      <c r="C228" t="e">
        <v>#N/A</v>
      </c>
      <c r="D228" t="s">
        <v>19</v>
      </c>
      <c r="E228">
        <v>267848292.04</v>
      </c>
      <c r="F228">
        <v>40.85175</v>
      </c>
      <c r="G228">
        <v>25.16238</v>
      </c>
      <c r="H228">
        <v>99999999</v>
      </c>
      <c r="I228">
        <v>3.81315</v>
      </c>
      <c r="J228">
        <v>0</v>
      </c>
    </row>
    <row r="229" spans="1:10">
      <c r="A229">
        <v>228</v>
      </c>
      <c r="B229" t="s">
        <v>36</v>
      </c>
      <c r="C229" t="e">
        <v>#N/A</v>
      </c>
      <c r="D229" t="s">
        <v>39</v>
      </c>
      <c r="E229">
        <v>302163978.93</v>
      </c>
      <c r="F229">
        <v>10.02417</v>
      </c>
      <c r="G229">
        <v>-4.79369</v>
      </c>
      <c r="I229">
        <v>0.71699</v>
      </c>
      <c r="J229">
        <v>0</v>
      </c>
    </row>
    <row r="230" spans="1:10">
      <c r="A230">
        <v>229</v>
      </c>
      <c r="B230" t="s">
        <v>36</v>
      </c>
      <c r="C230" t="e">
        <v>#N/A</v>
      </c>
      <c r="D230" t="s">
        <v>34</v>
      </c>
      <c r="E230">
        <v>620000</v>
      </c>
      <c r="F230">
        <v>113.1613</v>
      </c>
      <c r="G230">
        <v>99999999</v>
      </c>
      <c r="J230">
        <v>0</v>
      </c>
    </row>
    <row r="231" spans="1:10">
      <c r="A231">
        <v>230</v>
      </c>
      <c r="B231" t="s">
        <v>36</v>
      </c>
      <c r="C231" t="e">
        <v>#N/A</v>
      </c>
      <c r="D231" t="s">
        <v>19</v>
      </c>
      <c r="E231">
        <v>51294084.9</v>
      </c>
      <c r="F231">
        <v>-190.49522</v>
      </c>
      <c r="G231">
        <v>-33.37404</v>
      </c>
      <c r="I231">
        <v>0.24239</v>
      </c>
      <c r="J231">
        <v>0</v>
      </c>
    </row>
    <row r="232" spans="1:10">
      <c r="A232">
        <v>231</v>
      </c>
      <c r="B232" t="s">
        <v>36</v>
      </c>
      <c r="C232" t="e">
        <v>#N/A</v>
      </c>
      <c r="D232" t="s">
        <v>19</v>
      </c>
      <c r="E232">
        <v>8580658.01</v>
      </c>
      <c r="F232">
        <v>-140.80693</v>
      </c>
      <c r="G232">
        <v>-35.17425</v>
      </c>
      <c r="J232">
        <v>1</v>
      </c>
    </row>
    <row r="233" spans="1:10">
      <c r="A233">
        <v>232</v>
      </c>
      <c r="B233" t="s">
        <v>36</v>
      </c>
      <c r="C233" t="e">
        <v>#N/A</v>
      </c>
      <c r="D233" t="s">
        <v>34</v>
      </c>
      <c r="J233">
        <v>0</v>
      </c>
    </row>
    <row r="234" spans="1:10">
      <c r="A234">
        <v>233</v>
      </c>
      <c r="B234" t="s">
        <v>36</v>
      </c>
      <c r="C234" t="e">
        <v>#N/A</v>
      </c>
      <c r="D234" t="s">
        <v>39</v>
      </c>
      <c r="F234">
        <v>34.21989</v>
      </c>
      <c r="G234">
        <v>26.20205</v>
      </c>
      <c r="H234">
        <v>99999999</v>
      </c>
      <c r="J234">
        <v>0</v>
      </c>
    </row>
    <row r="235" spans="1:10">
      <c r="A235">
        <v>234</v>
      </c>
      <c r="B235" t="s">
        <v>36</v>
      </c>
      <c r="C235" t="e">
        <v>#N/A</v>
      </c>
      <c r="D235" t="s">
        <v>39</v>
      </c>
      <c r="E235">
        <v>119549155.75</v>
      </c>
      <c r="F235">
        <v>-86.42224</v>
      </c>
      <c r="G235">
        <v>26.50151</v>
      </c>
      <c r="I235">
        <v>0.22003</v>
      </c>
      <c r="J235">
        <v>0</v>
      </c>
    </row>
    <row r="236" spans="1:10">
      <c r="A236">
        <v>235</v>
      </c>
      <c r="B236" t="s">
        <v>36</v>
      </c>
      <c r="C236" t="e">
        <v>#N/A</v>
      </c>
      <c r="D236" t="s">
        <v>39</v>
      </c>
      <c r="E236">
        <v>74033455.25</v>
      </c>
      <c r="F236">
        <v>17.3775</v>
      </c>
      <c r="G236">
        <v>-14.53488</v>
      </c>
      <c r="I236">
        <v>0.56129</v>
      </c>
      <c r="J236">
        <v>0</v>
      </c>
    </row>
    <row r="237" spans="1:10">
      <c r="A237">
        <v>236</v>
      </c>
      <c r="B237" t="s">
        <v>36</v>
      </c>
      <c r="C237" t="e">
        <v>#N/A</v>
      </c>
      <c r="D237" t="s">
        <v>19</v>
      </c>
      <c r="J237">
        <v>0</v>
      </c>
    </row>
    <row r="238" spans="1:10">
      <c r="A238">
        <v>237</v>
      </c>
      <c r="B238" t="s">
        <v>36</v>
      </c>
      <c r="C238" t="e">
        <v>#N/A</v>
      </c>
      <c r="D238" t="s">
        <v>19</v>
      </c>
      <c r="E238">
        <v>41593943.48</v>
      </c>
      <c r="F238">
        <v>99999999</v>
      </c>
      <c r="G238">
        <v>99999999</v>
      </c>
      <c r="H238">
        <v>99999999</v>
      </c>
      <c r="I238">
        <v>-0.00347</v>
      </c>
      <c r="J238">
        <v>0</v>
      </c>
    </row>
    <row r="239" spans="1:10">
      <c r="A239">
        <v>238</v>
      </c>
      <c r="B239" t="s">
        <v>36</v>
      </c>
      <c r="C239" t="e">
        <v>#N/A</v>
      </c>
      <c r="D239" t="s">
        <v>19</v>
      </c>
      <c r="E239">
        <v>92289809.92</v>
      </c>
      <c r="F239">
        <v>99999999</v>
      </c>
      <c r="G239">
        <v>99999999</v>
      </c>
      <c r="I239">
        <v>-0.35175</v>
      </c>
      <c r="J239">
        <v>0</v>
      </c>
    </row>
    <row r="240" spans="1:10">
      <c r="A240">
        <v>239</v>
      </c>
      <c r="B240" t="s">
        <v>36</v>
      </c>
      <c r="C240" t="e">
        <v>#N/A</v>
      </c>
      <c r="D240" t="s">
        <v>19</v>
      </c>
      <c r="E240">
        <v>349878750</v>
      </c>
      <c r="F240">
        <v>99999999</v>
      </c>
      <c r="G240">
        <v>99999999</v>
      </c>
      <c r="I240">
        <v>-0.00357</v>
      </c>
      <c r="J240">
        <v>0</v>
      </c>
    </row>
    <row r="241" spans="1:10">
      <c r="A241">
        <v>240</v>
      </c>
      <c r="B241" t="s">
        <v>36</v>
      </c>
      <c r="C241" t="e">
        <v>#N/A</v>
      </c>
      <c r="D241" t="s">
        <v>19</v>
      </c>
      <c r="E241">
        <v>572975457.96</v>
      </c>
      <c r="F241">
        <v>-30.02777</v>
      </c>
      <c r="G241">
        <v>1.71277</v>
      </c>
      <c r="I241">
        <v>0.2811</v>
      </c>
      <c r="J241">
        <v>0</v>
      </c>
    </row>
    <row r="242" spans="1:10">
      <c r="A242">
        <v>241</v>
      </c>
      <c r="B242" t="s">
        <v>36</v>
      </c>
      <c r="C242" t="e">
        <v>#N/A</v>
      </c>
      <c r="D242" t="s">
        <v>26</v>
      </c>
      <c r="E242">
        <v>374243359.63</v>
      </c>
      <c r="F242">
        <v>-10.30897</v>
      </c>
      <c r="G242">
        <v>65.26646</v>
      </c>
      <c r="I242">
        <v>0.91333</v>
      </c>
      <c r="J242">
        <v>0</v>
      </c>
    </row>
    <row r="243" spans="1:10">
      <c r="A243">
        <v>242</v>
      </c>
      <c r="B243" t="s">
        <v>36</v>
      </c>
      <c r="C243" t="e">
        <v>#N/A</v>
      </c>
      <c r="D243" t="s">
        <v>19</v>
      </c>
      <c r="E243">
        <v>1035.71</v>
      </c>
      <c r="F243">
        <v>99999999</v>
      </c>
      <c r="G243">
        <v>99999999</v>
      </c>
      <c r="J243">
        <v>0</v>
      </c>
    </row>
    <row r="244" spans="1:10">
      <c r="A244">
        <v>243</v>
      </c>
      <c r="B244" t="s">
        <v>36</v>
      </c>
      <c r="C244" t="e">
        <v>#N/A</v>
      </c>
      <c r="D244" t="s">
        <v>19</v>
      </c>
      <c r="E244">
        <v>96185892.54</v>
      </c>
      <c r="F244">
        <v>-25.13644</v>
      </c>
      <c r="G244">
        <v>-0.83948</v>
      </c>
      <c r="I244">
        <v>0.4498</v>
      </c>
      <c r="J244">
        <v>1</v>
      </c>
    </row>
    <row r="245" spans="1:10">
      <c r="A245">
        <v>244</v>
      </c>
      <c r="B245" t="s">
        <v>36</v>
      </c>
      <c r="C245" t="e">
        <v>#N/A</v>
      </c>
      <c r="D245" t="s">
        <v>19</v>
      </c>
      <c r="E245">
        <v>86846319.82</v>
      </c>
      <c r="F245">
        <v>7.04634</v>
      </c>
      <c r="G245">
        <v>32.07094</v>
      </c>
      <c r="I245">
        <v>13.63929</v>
      </c>
      <c r="J245">
        <v>0</v>
      </c>
    </row>
    <row r="246" spans="1:10">
      <c r="A246">
        <v>245</v>
      </c>
      <c r="B246" t="s">
        <v>36</v>
      </c>
      <c r="C246" t="e">
        <v>#N/A</v>
      </c>
      <c r="D246" t="s">
        <v>34</v>
      </c>
      <c r="F246">
        <v>99999999</v>
      </c>
      <c r="G246">
        <v>99999999</v>
      </c>
      <c r="J246">
        <v>0</v>
      </c>
    </row>
    <row r="247" spans="1:10">
      <c r="A247">
        <v>246</v>
      </c>
      <c r="B247" t="s">
        <v>36</v>
      </c>
      <c r="C247" t="e">
        <v>#N/A</v>
      </c>
      <c r="D247" t="s">
        <v>19</v>
      </c>
      <c r="E247">
        <v>106043308.52</v>
      </c>
      <c r="F247">
        <v>-50.44163</v>
      </c>
      <c r="G247">
        <v>64.61133</v>
      </c>
      <c r="I247">
        <v>0.75991</v>
      </c>
      <c r="J247">
        <v>0</v>
      </c>
    </row>
    <row r="248" spans="1:10">
      <c r="A248">
        <v>247</v>
      </c>
      <c r="B248" t="s">
        <v>36</v>
      </c>
      <c r="C248" t="e">
        <v>#N/A</v>
      </c>
      <c r="D248" t="s">
        <v>19</v>
      </c>
      <c r="E248">
        <v>231237674.06</v>
      </c>
      <c r="F248">
        <v>-27.99915</v>
      </c>
      <c r="G248">
        <v>12.48649</v>
      </c>
      <c r="I248">
        <v>0.86448</v>
      </c>
      <c r="J248">
        <v>0</v>
      </c>
    </row>
    <row r="249" spans="1:10">
      <c r="A249">
        <v>248</v>
      </c>
      <c r="B249" t="s">
        <v>36</v>
      </c>
      <c r="C249" t="e">
        <v>#N/A</v>
      </c>
      <c r="D249" t="s">
        <v>39</v>
      </c>
      <c r="E249">
        <v>55806417.3</v>
      </c>
      <c r="F249">
        <v>3.61762</v>
      </c>
      <c r="G249">
        <v>10.54211</v>
      </c>
      <c r="I249">
        <v>1.60096</v>
      </c>
      <c r="J249">
        <v>0</v>
      </c>
    </row>
    <row r="250" spans="1:10">
      <c r="A250">
        <v>249</v>
      </c>
      <c r="B250" t="s">
        <v>36</v>
      </c>
      <c r="C250" t="e">
        <v>#N/A</v>
      </c>
      <c r="D250" t="s">
        <v>19</v>
      </c>
      <c r="E250">
        <v>27572846.05</v>
      </c>
      <c r="F250">
        <v>8.94692</v>
      </c>
      <c r="G250">
        <v>834.61513</v>
      </c>
      <c r="J250">
        <v>0</v>
      </c>
    </row>
    <row r="251" spans="1:10">
      <c r="A251">
        <v>250</v>
      </c>
      <c r="B251" t="s">
        <v>36</v>
      </c>
      <c r="C251" t="e">
        <v>#N/A</v>
      </c>
      <c r="D251" t="s">
        <v>19</v>
      </c>
      <c r="E251">
        <v>32178794.31</v>
      </c>
      <c r="F251">
        <v>1.05413</v>
      </c>
      <c r="G251">
        <v>-1.34267</v>
      </c>
      <c r="I251">
        <v>1.03156</v>
      </c>
      <c r="J251">
        <v>0</v>
      </c>
    </row>
    <row r="252" spans="1:10">
      <c r="A252">
        <v>251</v>
      </c>
      <c r="B252" t="s">
        <v>36</v>
      </c>
      <c r="C252" t="e">
        <v>#N/A</v>
      </c>
      <c r="D252" t="s">
        <v>19</v>
      </c>
      <c r="E252">
        <v>397324982.95</v>
      </c>
      <c r="F252">
        <v>-23.9124</v>
      </c>
      <c r="G252">
        <v>23.18994</v>
      </c>
      <c r="I252">
        <v>1.34218</v>
      </c>
      <c r="J252">
        <v>0</v>
      </c>
    </row>
    <row r="253" spans="1:10">
      <c r="A253">
        <v>252</v>
      </c>
      <c r="B253" t="s">
        <v>36</v>
      </c>
      <c r="C253" t="e">
        <v>#N/A</v>
      </c>
      <c r="D253" t="s">
        <v>26</v>
      </c>
      <c r="E253">
        <v>246088490</v>
      </c>
      <c r="F253">
        <v>-84.14284</v>
      </c>
      <c r="G253">
        <v>3496.01151</v>
      </c>
      <c r="I253">
        <v>0.16603</v>
      </c>
      <c r="J253">
        <v>0</v>
      </c>
    </row>
    <row r="254" spans="1:10">
      <c r="A254">
        <v>253</v>
      </c>
      <c r="B254" t="s">
        <v>36</v>
      </c>
      <c r="C254" t="e">
        <v>#N/A</v>
      </c>
      <c r="D254" t="s">
        <v>19</v>
      </c>
      <c r="E254">
        <v>1035.71</v>
      </c>
      <c r="F254">
        <v>99999999</v>
      </c>
      <c r="G254">
        <v>99999999</v>
      </c>
      <c r="J254">
        <v>0</v>
      </c>
    </row>
    <row r="255" spans="1:10">
      <c r="A255">
        <v>254</v>
      </c>
      <c r="B255" t="s">
        <v>36</v>
      </c>
      <c r="C255" t="e">
        <v>#N/A</v>
      </c>
      <c r="D255" t="s">
        <v>26</v>
      </c>
      <c r="E255">
        <v>374243359.63</v>
      </c>
      <c r="F255">
        <v>-10.30897</v>
      </c>
      <c r="G255">
        <v>65.26646</v>
      </c>
      <c r="I255">
        <v>1.15304</v>
      </c>
      <c r="J255">
        <v>0</v>
      </c>
    </row>
    <row r="256" spans="1:10">
      <c r="A256">
        <v>255</v>
      </c>
      <c r="B256" t="s">
        <v>37</v>
      </c>
      <c r="C256" t="e">
        <v>#N/A</v>
      </c>
      <c r="D256" t="s">
        <v>33</v>
      </c>
      <c r="E256">
        <v>338166104.93</v>
      </c>
      <c r="F256">
        <v>1.62579</v>
      </c>
      <c r="G256">
        <v>8.27095</v>
      </c>
      <c r="I256">
        <v>1.72888</v>
      </c>
      <c r="J256">
        <v>0</v>
      </c>
    </row>
    <row r="257" spans="1:10">
      <c r="A257">
        <v>256</v>
      </c>
      <c r="B257" t="s">
        <v>37</v>
      </c>
      <c r="C257" t="e">
        <v>#N/A</v>
      </c>
      <c r="D257" t="s">
        <v>33</v>
      </c>
      <c r="E257">
        <v>1446810731.22</v>
      </c>
      <c r="F257">
        <v>4.08503</v>
      </c>
      <c r="G257">
        <v>6.02842</v>
      </c>
      <c r="I257">
        <v>1.61396</v>
      </c>
      <c r="J257">
        <v>0</v>
      </c>
    </row>
    <row r="258" spans="1:10">
      <c r="A258">
        <v>257</v>
      </c>
      <c r="B258" t="s">
        <v>36</v>
      </c>
      <c r="C258" t="e">
        <v>#N/A</v>
      </c>
      <c r="D258" t="s">
        <v>26</v>
      </c>
      <c r="E258">
        <v>317230013.11</v>
      </c>
      <c r="F258">
        <v>8.2113</v>
      </c>
      <c r="G258">
        <v>21.74795</v>
      </c>
      <c r="I258">
        <v>3.68676</v>
      </c>
      <c r="J258">
        <v>0</v>
      </c>
    </row>
    <row r="259" spans="1:10">
      <c r="A259">
        <v>258</v>
      </c>
      <c r="B259" t="s">
        <v>36</v>
      </c>
      <c r="C259" t="e">
        <v>#N/A</v>
      </c>
      <c r="D259" t="s">
        <v>19</v>
      </c>
      <c r="E259">
        <v>2261527.93</v>
      </c>
      <c r="F259">
        <v>99999999</v>
      </c>
      <c r="G259">
        <v>99999999</v>
      </c>
      <c r="I259">
        <v>-0.36765</v>
      </c>
      <c r="J259">
        <v>0</v>
      </c>
    </row>
    <row r="260" spans="1:10">
      <c r="A260">
        <v>259</v>
      </c>
      <c r="B260" t="s">
        <v>36</v>
      </c>
      <c r="C260" t="e">
        <v>#N/A</v>
      </c>
      <c r="D260" t="s">
        <v>19</v>
      </c>
      <c r="E260">
        <v>33507552.22</v>
      </c>
      <c r="F260">
        <v>13.07194</v>
      </c>
      <c r="G260">
        <v>-7.93107</v>
      </c>
      <c r="J260">
        <v>0</v>
      </c>
    </row>
    <row r="261" spans="1:10">
      <c r="A261">
        <v>260</v>
      </c>
      <c r="B261" t="s">
        <v>36</v>
      </c>
      <c r="C261" t="e">
        <v>#N/A</v>
      </c>
      <c r="D261" t="s">
        <v>19</v>
      </c>
      <c r="E261">
        <v>17554746.4</v>
      </c>
      <c r="F261">
        <v>-416.44322</v>
      </c>
      <c r="G261">
        <v>22.8755</v>
      </c>
      <c r="I261">
        <v>-0.75338</v>
      </c>
      <c r="J261">
        <v>0</v>
      </c>
    </row>
    <row r="262" spans="1:10">
      <c r="A262">
        <v>261</v>
      </c>
      <c r="B262" t="s">
        <v>36</v>
      </c>
      <c r="C262" t="e">
        <v>#N/A</v>
      </c>
      <c r="D262" t="s">
        <v>30</v>
      </c>
      <c r="E262">
        <v>53778521.3</v>
      </c>
      <c r="F262">
        <v>-146.37826</v>
      </c>
      <c r="G262">
        <v>-9.03694</v>
      </c>
      <c r="J262">
        <v>0</v>
      </c>
    </row>
    <row r="263" spans="1:10">
      <c r="A263">
        <v>262</v>
      </c>
      <c r="B263" t="s">
        <v>36</v>
      </c>
      <c r="C263" t="e">
        <v>#N/A</v>
      </c>
      <c r="D263" t="s">
        <v>19</v>
      </c>
      <c r="E263">
        <v>9314332.58</v>
      </c>
      <c r="F263">
        <v>5.41182</v>
      </c>
      <c r="G263">
        <v>99999999</v>
      </c>
      <c r="J263">
        <v>0</v>
      </c>
    </row>
    <row r="264" spans="1:10">
      <c r="A264">
        <v>263</v>
      </c>
      <c r="B264" t="s">
        <v>36</v>
      </c>
      <c r="C264" t="e">
        <v>#N/A</v>
      </c>
      <c r="D264" t="s">
        <v>33</v>
      </c>
      <c r="E264">
        <v>115372487.37</v>
      </c>
      <c r="F264">
        <v>-3.26706</v>
      </c>
      <c r="G264">
        <v>71.05851</v>
      </c>
      <c r="J264">
        <v>0</v>
      </c>
    </row>
    <row r="265" spans="1:10">
      <c r="A265">
        <v>264</v>
      </c>
      <c r="B265" t="s">
        <v>36</v>
      </c>
      <c r="C265" t="e">
        <v>#N/A</v>
      </c>
      <c r="D265" t="s">
        <v>19</v>
      </c>
      <c r="E265">
        <v>58716947.86</v>
      </c>
      <c r="F265">
        <v>-144.20401</v>
      </c>
      <c r="G265">
        <v>-10.99021</v>
      </c>
      <c r="J265">
        <v>0</v>
      </c>
    </row>
    <row r="266" spans="1:10">
      <c r="A266">
        <v>265</v>
      </c>
      <c r="B266" t="s">
        <v>36</v>
      </c>
      <c r="C266" t="e">
        <v>#N/A</v>
      </c>
      <c r="D266" t="s">
        <v>19</v>
      </c>
      <c r="E266">
        <v>82752093.25</v>
      </c>
      <c r="F266">
        <v>-27.16712</v>
      </c>
      <c r="G266">
        <v>-4.49901</v>
      </c>
      <c r="J266">
        <v>0</v>
      </c>
    </row>
    <row r="267" spans="1:10">
      <c r="A267">
        <v>266</v>
      </c>
      <c r="B267" t="s">
        <v>36</v>
      </c>
      <c r="C267" t="e">
        <v>#N/A</v>
      </c>
      <c r="D267" t="s">
        <v>19</v>
      </c>
      <c r="E267">
        <v>330268998.15</v>
      </c>
      <c r="F267">
        <v>-41.52387</v>
      </c>
      <c r="G267">
        <v>23.80534</v>
      </c>
      <c r="I267">
        <v>0.34805</v>
      </c>
      <c r="J267">
        <v>0</v>
      </c>
    </row>
    <row r="268" spans="1:10">
      <c r="A268">
        <v>267</v>
      </c>
      <c r="B268" t="s">
        <v>36</v>
      </c>
      <c r="C268" t="e">
        <v>#N/A</v>
      </c>
      <c r="D268" t="s">
        <v>19</v>
      </c>
      <c r="E268">
        <v>1248535.79</v>
      </c>
      <c r="F268">
        <v>-32.0835</v>
      </c>
      <c r="G268">
        <v>99999999</v>
      </c>
      <c r="J268">
        <v>0</v>
      </c>
    </row>
    <row r="269" spans="1:10">
      <c r="A269">
        <v>268</v>
      </c>
      <c r="B269" t="s">
        <v>36</v>
      </c>
      <c r="C269" t="e">
        <v>#N/A</v>
      </c>
      <c r="D269" t="s">
        <v>19</v>
      </c>
      <c r="E269">
        <v>3952778.76</v>
      </c>
      <c r="F269">
        <v>-14.20351</v>
      </c>
      <c r="G269">
        <v>6.55717</v>
      </c>
      <c r="I269">
        <v>0.61608</v>
      </c>
      <c r="J269">
        <v>0</v>
      </c>
    </row>
    <row r="270" spans="1:10">
      <c r="A270">
        <v>269</v>
      </c>
      <c r="B270" t="s">
        <v>36</v>
      </c>
      <c r="C270" t="e">
        <v>#N/A</v>
      </c>
      <c r="D270" t="s">
        <v>19</v>
      </c>
      <c r="E270">
        <v>1416971.68</v>
      </c>
      <c r="F270">
        <v>-36.81393</v>
      </c>
      <c r="G270">
        <v>99999999</v>
      </c>
      <c r="J270">
        <v>0</v>
      </c>
    </row>
    <row r="271" spans="1:10">
      <c r="A271">
        <v>270</v>
      </c>
      <c r="B271" t="s">
        <v>36</v>
      </c>
      <c r="C271" t="e">
        <v>#N/A</v>
      </c>
      <c r="D271" t="s">
        <v>19</v>
      </c>
      <c r="E271">
        <v>99152292.41</v>
      </c>
      <c r="F271">
        <v>-45.9483</v>
      </c>
      <c r="G271">
        <v>59.94427</v>
      </c>
      <c r="J271">
        <v>0</v>
      </c>
    </row>
    <row r="272" spans="1:10">
      <c r="A272">
        <v>271</v>
      </c>
      <c r="B272" t="s">
        <v>36</v>
      </c>
      <c r="C272" t="e">
        <v>#N/A</v>
      </c>
      <c r="D272" t="s">
        <v>19</v>
      </c>
      <c r="E272">
        <v>23761134.89</v>
      </c>
      <c r="F272">
        <v>-19.83102</v>
      </c>
      <c r="G272">
        <v>33.97704</v>
      </c>
      <c r="J272">
        <v>0</v>
      </c>
    </row>
    <row r="273" spans="1:10">
      <c r="A273">
        <v>272</v>
      </c>
      <c r="B273" t="s">
        <v>36</v>
      </c>
      <c r="C273" t="e">
        <v>#N/A</v>
      </c>
      <c r="D273" t="s">
        <v>39</v>
      </c>
      <c r="F273">
        <v>42.37961</v>
      </c>
      <c r="G273">
        <v>2.96248</v>
      </c>
      <c r="J273">
        <v>0</v>
      </c>
    </row>
    <row r="274" spans="1:10">
      <c r="A274">
        <v>273</v>
      </c>
      <c r="B274" t="s">
        <v>36</v>
      </c>
      <c r="C274" t="e">
        <v>#N/A</v>
      </c>
      <c r="D274" t="s">
        <v>26</v>
      </c>
      <c r="F274">
        <v>21.33346</v>
      </c>
      <c r="G274">
        <v>19.44444</v>
      </c>
      <c r="J274">
        <v>0</v>
      </c>
    </row>
    <row r="275" spans="1:10">
      <c r="A275">
        <v>274</v>
      </c>
      <c r="B275" t="s">
        <v>36</v>
      </c>
      <c r="C275" t="e">
        <v>#N/A</v>
      </c>
      <c r="D275" t="s">
        <v>19</v>
      </c>
      <c r="J275">
        <v>0</v>
      </c>
    </row>
    <row r="276" spans="1:10">
      <c r="A276">
        <v>275</v>
      </c>
      <c r="B276" t="s">
        <v>36</v>
      </c>
      <c r="C276" t="e">
        <v>#N/A</v>
      </c>
      <c r="D276" t="s">
        <v>19</v>
      </c>
      <c r="E276">
        <v>207377705</v>
      </c>
      <c r="F276">
        <v>-24.6183</v>
      </c>
      <c r="G276">
        <v>8.76621</v>
      </c>
      <c r="I276">
        <v>0.00833</v>
      </c>
      <c r="J276">
        <v>0</v>
      </c>
    </row>
    <row r="277" spans="1:10">
      <c r="A277">
        <v>276</v>
      </c>
      <c r="B277" t="s">
        <v>36</v>
      </c>
      <c r="C277" t="e">
        <v>#N/A</v>
      </c>
      <c r="D277" t="s">
        <v>19</v>
      </c>
      <c r="E277">
        <v>11412613.55</v>
      </c>
      <c r="F277">
        <v>99999999</v>
      </c>
      <c r="G277">
        <v>99999999</v>
      </c>
      <c r="J277">
        <v>0</v>
      </c>
    </row>
    <row r="278" spans="1:10">
      <c r="A278">
        <v>277</v>
      </c>
      <c r="B278" t="s">
        <v>36</v>
      </c>
      <c r="C278" t="e">
        <v>#N/A</v>
      </c>
      <c r="D278" t="s">
        <v>19</v>
      </c>
      <c r="E278">
        <v>80657388.86</v>
      </c>
      <c r="F278">
        <v>99999999</v>
      </c>
      <c r="G278">
        <v>99999999</v>
      </c>
      <c r="J278">
        <v>0</v>
      </c>
    </row>
    <row r="279" spans="1:10">
      <c r="A279">
        <v>278</v>
      </c>
      <c r="B279" t="s">
        <v>36</v>
      </c>
      <c r="C279" t="e">
        <v>#N/A</v>
      </c>
      <c r="D279" t="s">
        <v>19</v>
      </c>
      <c r="E279">
        <v>134267301.58</v>
      </c>
      <c r="F279">
        <v>-5.70127</v>
      </c>
      <c r="G279">
        <v>13.60812</v>
      </c>
      <c r="J279">
        <v>0</v>
      </c>
    </row>
    <row r="280" spans="1:10">
      <c r="A280">
        <v>279</v>
      </c>
      <c r="B280" t="s">
        <v>36</v>
      </c>
      <c r="C280" t="e">
        <v>#N/A</v>
      </c>
      <c r="D280" t="s">
        <v>19</v>
      </c>
      <c r="E280">
        <v>31793581.88</v>
      </c>
      <c r="F280">
        <v>99999999</v>
      </c>
      <c r="G280">
        <v>99999999</v>
      </c>
      <c r="I280">
        <v>-0.89404</v>
      </c>
      <c r="J280">
        <v>0</v>
      </c>
    </row>
    <row r="281" spans="1:10">
      <c r="A281">
        <v>280</v>
      </c>
      <c r="B281" t="s">
        <v>36</v>
      </c>
      <c r="C281" t="e">
        <v>#N/A</v>
      </c>
      <c r="D281" t="s">
        <v>19</v>
      </c>
      <c r="E281">
        <v>101161026.29</v>
      </c>
      <c r="F281">
        <v>-17.26617</v>
      </c>
      <c r="G281">
        <v>5.71719</v>
      </c>
      <c r="J281">
        <v>1</v>
      </c>
    </row>
    <row r="282" spans="1:10">
      <c r="A282">
        <v>281</v>
      </c>
      <c r="B282" t="s">
        <v>36</v>
      </c>
      <c r="C282" t="e">
        <v>#N/A</v>
      </c>
      <c r="D282" t="s">
        <v>26</v>
      </c>
      <c r="E282">
        <v>125779877.37</v>
      </c>
      <c r="F282">
        <v>-140.89033</v>
      </c>
      <c r="G282">
        <v>5.29392</v>
      </c>
      <c r="J282">
        <v>0</v>
      </c>
    </row>
    <row r="283" spans="1:10">
      <c r="A283">
        <v>282</v>
      </c>
      <c r="B283" t="s">
        <v>36</v>
      </c>
      <c r="C283" t="e">
        <v>#N/A</v>
      </c>
      <c r="D283" t="s">
        <v>26</v>
      </c>
      <c r="E283">
        <v>1484351398.57</v>
      </c>
      <c r="F283">
        <v>20.6897</v>
      </c>
      <c r="G283">
        <v>68.71057</v>
      </c>
      <c r="I283">
        <v>1.5367</v>
      </c>
      <c r="J283">
        <v>0</v>
      </c>
    </row>
    <row r="284" spans="1:10">
      <c r="A284">
        <v>283</v>
      </c>
      <c r="B284" t="s">
        <v>36</v>
      </c>
      <c r="C284" t="e">
        <v>#N/A</v>
      </c>
      <c r="D284" t="s">
        <v>19</v>
      </c>
      <c r="E284">
        <v>19903346.78</v>
      </c>
      <c r="F284">
        <v>-505.914</v>
      </c>
      <c r="G284">
        <v>20</v>
      </c>
      <c r="I284">
        <v>0.04145</v>
      </c>
      <c r="J284">
        <v>0</v>
      </c>
    </row>
    <row r="285" spans="1:10">
      <c r="A285">
        <v>284</v>
      </c>
      <c r="B285" t="s">
        <v>36</v>
      </c>
      <c r="C285" t="e">
        <v>#N/A</v>
      </c>
      <c r="D285" t="s">
        <v>32</v>
      </c>
      <c r="F285">
        <v>-78.84958</v>
      </c>
      <c r="G285">
        <v>99999999</v>
      </c>
      <c r="I285">
        <v>0.1232</v>
      </c>
      <c r="J285">
        <v>0</v>
      </c>
    </row>
    <row r="286" spans="1:10">
      <c r="A286">
        <v>285</v>
      </c>
      <c r="B286" t="s">
        <v>36</v>
      </c>
      <c r="C286" t="e">
        <v>#N/A</v>
      </c>
      <c r="D286" t="s">
        <v>30</v>
      </c>
      <c r="E286">
        <v>186246592.24</v>
      </c>
      <c r="F286">
        <v>18.90665</v>
      </c>
      <c r="G286">
        <v>4.32751</v>
      </c>
      <c r="I286">
        <v>1.63526</v>
      </c>
      <c r="J286">
        <v>0</v>
      </c>
    </row>
    <row r="287" spans="1:10">
      <c r="A287">
        <v>286</v>
      </c>
      <c r="B287" t="s">
        <v>36</v>
      </c>
      <c r="C287" t="e">
        <v>#N/A</v>
      </c>
      <c r="D287" t="s">
        <v>19</v>
      </c>
      <c r="E287">
        <v>602104513.05</v>
      </c>
      <c r="F287">
        <v>-22.30885</v>
      </c>
      <c r="G287">
        <v>4.99272</v>
      </c>
      <c r="J287">
        <v>0</v>
      </c>
    </row>
    <row r="288" spans="1:10">
      <c r="A288">
        <v>287</v>
      </c>
      <c r="B288" t="s">
        <v>36</v>
      </c>
      <c r="C288" t="e">
        <v>#N/A</v>
      </c>
      <c r="D288" t="s">
        <v>19</v>
      </c>
      <c r="E288">
        <v>99900000</v>
      </c>
      <c r="F288">
        <v>99999999</v>
      </c>
      <c r="G288">
        <v>99999999</v>
      </c>
      <c r="J288">
        <v>0</v>
      </c>
    </row>
    <row r="289" spans="1:10">
      <c r="A289">
        <v>288</v>
      </c>
      <c r="B289" t="s">
        <v>36</v>
      </c>
      <c r="C289" t="e">
        <v>#N/A</v>
      </c>
      <c r="D289" t="s">
        <v>26</v>
      </c>
      <c r="E289">
        <v>49534074.75</v>
      </c>
      <c r="F289">
        <v>1.50067</v>
      </c>
      <c r="G289">
        <v>21.28357</v>
      </c>
      <c r="J289">
        <v>0</v>
      </c>
    </row>
    <row r="290" spans="1:10">
      <c r="A290">
        <v>289</v>
      </c>
      <c r="B290" t="s">
        <v>36</v>
      </c>
      <c r="C290" t="e">
        <v>#N/A</v>
      </c>
      <c r="D290" t="s">
        <v>38</v>
      </c>
      <c r="E290">
        <v>452839271</v>
      </c>
      <c r="F290">
        <v>-68.41984</v>
      </c>
      <c r="G290">
        <v>-39.3751</v>
      </c>
      <c r="I290">
        <v>0.0299</v>
      </c>
      <c r="J290">
        <v>0</v>
      </c>
    </row>
    <row r="291" spans="1:10">
      <c r="A291">
        <v>290</v>
      </c>
      <c r="B291" t="s">
        <v>36</v>
      </c>
      <c r="C291" t="e">
        <v>#N/A</v>
      </c>
      <c r="D291" t="s">
        <v>26</v>
      </c>
      <c r="E291">
        <v>247662870</v>
      </c>
      <c r="F291">
        <v>-956.15828</v>
      </c>
      <c r="G291">
        <v>99999999</v>
      </c>
      <c r="J291">
        <v>0</v>
      </c>
    </row>
    <row r="292" spans="1:10">
      <c r="A292">
        <v>291</v>
      </c>
      <c r="B292" t="s">
        <v>36</v>
      </c>
      <c r="C292" t="e">
        <v>#N/A</v>
      </c>
      <c r="D292" t="s">
        <v>30</v>
      </c>
      <c r="E292">
        <v>195259530.22</v>
      </c>
      <c r="F292">
        <v>-9.49877</v>
      </c>
      <c r="G292">
        <v>10.90776</v>
      </c>
      <c r="J292">
        <v>0</v>
      </c>
    </row>
    <row r="293" spans="1:10">
      <c r="A293">
        <v>292</v>
      </c>
      <c r="B293" t="s">
        <v>36</v>
      </c>
      <c r="C293" t="e">
        <v>#N/A</v>
      </c>
      <c r="D293" t="s">
        <v>39</v>
      </c>
      <c r="E293">
        <v>85693703.05</v>
      </c>
      <c r="F293">
        <v>-22.20415</v>
      </c>
      <c r="G293">
        <v>18.84704</v>
      </c>
      <c r="J293">
        <v>0</v>
      </c>
    </row>
    <row r="294" spans="1:10">
      <c r="A294">
        <v>293</v>
      </c>
      <c r="B294" t="s">
        <v>36</v>
      </c>
      <c r="C294" t="e">
        <v>#N/A</v>
      </c>
      <c r="D294" t="s">
        <v>19</v>
      </c>
      <c r="E294">
        <v>194093266.05</v>
      </c>
      <c r="F294">
        <v>-68.89229</v>
      </c>
      <c r="G294">
        <v>14.58547</v>
      </c>
      <c r="J294">
        <v>0</v>
      </c>
    </row>
    <row r="295" spans="1:10">
      <c r="A295">
        <v>294</v>
      </c>
      <c r="B295" t="s">
        <v>36</v>
      </c>
      <c r="C295" t="e">
        <v>#N/A</v>
      </c>
      <c r="D295" t="s">
        <v>19</v>
      </c>
      <c r="E295">
        <v>27645942.05</v>
      </c>
      <c r="F295">
        <v>-207.83932</v>
      </c>
      <c r="G295">
        <v>99999999</v>
      </c>
      <c r="I295">
        <v>-0.04412</v>
      </c>
      <c r="J295">
        <v>0</v>
      </c>
    </row>
    <row r="296" spans="1:10">
      <c r="A296">
        <v>295</v>
      </c>
      <c r="B296" t="s">
        <v>36</v>
      </c>
      <c r="C296" t="e">
        <v>#N/A</v>
      </c>
      <c r="D296" t="s">
        <v>19</v>
      </c>
      <c r="E296">
        <v>100876591.74</v>
      </c>
      <c r="F296">
        <v>-23.63662</v>
      </c>
      <c r="G296">
        <v>106.06597</v>
      </c>
      <c r="I296">
        <v>1.8016</v>
      </c>
      <c r="J296">
        <v>0</v>
      </c>
    </row>
    <row r="297" spans="1:10">
      <c r="A297">
        <v>296</v>
      </c>
      <c r="B297" t="s">
        <v>36</v>
      </c>
      <c r="C297" t="e">
        <v>#N/A</v>
      </c>
      <c r="D297" t="s">
        <v>19</v>
      </c>
      <c r="E297">
        <v>2508.53</v>
      </c>
      <c r="F297">
        <v>99999999</v>
      </c>
      <c r="G297">
        <v>99999999</v>
      </c>
      <c r="J297">
        <v>0</v>
      </c>
    </row>
    <row r="298" spans="1:10">
      <c r="A298">
        <v>297</v>
      </c>
      <c r="B298" t="s">
        <v>37</v>
      </c>
      <c r="C298" t="e">
        <v>#N/A</v>
      </c>
      <c r="D298" t="s">
        <v>30</v>
      </c>
      <c r="E298">
        <v>359554160</v>
      </c>
      <c r="F298">
        <v>3.87653</v>
      </c>
      <c r="G298">
        <v>8.51502</v>
      </c>
      <c r="J298">
        <v>0</v>
      </c>
    </row>
    <row r="299" spans="1:10">
      <c r="A299">
        <v>298</v>
      </c>
      <c r="B299" t="s">
        <v>36</v>
      </c>
      <c r="C299" t="e">
        <v>#N/A</v>
      </c>
      <c r="D299" t="s">
        <v>19</v>
      </c>
      <c r="E299">
        <v>17974939.38</v>
      </c>
      <c r="F299">
        <v>-609.89027</v>
      </c>
      <c r="G299">
        <v>164.41291</v>
      </c>
      <c r="J299">
        <v>0</v>
      </c>
    </row>
    <row r="300" spans="1:10">
      <c r="A300">
        <v>299</v>
      </c>
      <c r="B300" t="s">
        <v>37</v>
      </c>
      <c r="C300" t="e">
        <v>#N/A</v>
      </c>
      <c r="D300" t="s">
        <v>26</v>
      </c>
      <c r="E300">
        <v>1334066170.07</v>
      </c>
      <c r="F300">
        <v>5.73319</v>
      </c>
      <c r="G300">
        <v>52.09393</v>
      </c>
      <c r="J300">
        <v>0</v>
      </c>
    </row>
    <row r="301" spans="1:10">
      <c r="A301">
        <v>300</v>
      </c>
      <c r="B301" t="s">
        <v>36</v>
      </c>
      <c r="C301" t="e">
        <v>#N/A</v>
      </c>
      <c r="D301" t="s">
        <v>19</v>
      </c>
      <c r="E301">
        <v>31524398.78</v>
      </c>
      <c r="F301">
        <v>-0.36328</v>
      </c>
      <c r="G301">
        <v>13.16369</v>
      </c>
      <c r="J301">
        <v>0</v>
      </c>
    </row>
    <row r="302" spans="1:10">
      <c r="A302">
        <v>301</v>
      </c>
      <c r="B302" t="s">
        <v>36</v>
      </c>
      <c r="C302" t="e">
        <v>#N/A</v>
      </c>
      <c r="D302" t="s">
        <v>26</v>
      </c>
      <c r="F302">
        <v>23.687</v>
      </c>
      <c r="G302">
        <v>9.12356</v>
      </c>
      <c r="J302">
        <v>0</v>
      </c>
    </row>
    <row r="303" spans="1:10">
      <c r="A303">
        <v>302</v>
      </c>
      <c r="B303" t="s">
        <v>36</v>
      </c>
      <c r="C303" t="e">
        <v>#N/A</v>
      </c>
      <c r="D303" t="s">
        <v>32</v>
      </c>
      <c r="F303">
        <v>99999999</v>
      </c>
      <c r="G303">
        <v>99999999</v>
      </c>
      <c r="J303">
        <v>0</v>
      </c>
    </row>
    <row r="304" spans="1:10">
      <c r="A304">
        <v>303</v>
      </c>
      <c r="B304" t="s">
        <v>36</v>
      </c>
      <c r="C304" t="e">
        <v>#N/A</v>
      </c>
      <c r="D304" t="s">
        <v>19</v>
      </c>
      <c r="E304">
        <v>107781251.66</v>
      </c>
      <c r="F304">
        <v>-138.27134</v>
      </c>
      <c r="G304">
        <v>20.00281</v>
      </c>
      <c r="J304">
        <v>0</v>
      </c>
    </row>
    <row r="305" spans="1:10">
      <c r="A305">
        <v>304</v>
      </c>
      <c r="B305" t="s">
        <v>36</v>
      </c>
      <c r="C305" t="e">
        <v>#N/A</v>
      </c>
      <c r="D305" t="s">
        <v>19</v>
      </c>
      <c r="E305">
        <v>53541961.65</v>
      </c>
      <c r="F305">
        <v>9.00097</v>
      </c>
      <c r="G305">
        <v>82.31669</v>
      </c>
      <c r="J305">
        <v>0</v>
      </c>
    </row>
    <row r="306" spans="1:10">
      <c r="A306">
        <v>305</v>
      </c>
      <c r="B306" t="s">
        <v>36</v>
      </c>
      <c r="C306" t="e">
        <v>#N/A</v>
      </c>
      <c r="D306" t="s">
        <v>39</v>
      </c>
      <c r="E306">
        <v>597219051.73</v>
      </c>
      <c r="F306">
        <v>5.16093</v>
      </c>
      <c r="G306">
        <v>482.28227</v>
      </c>
      <c r="J306">
        <v>0</v>
      </c>
    </row>
    <row r="307" spans="1:10">
      <c r="A307">
        <v>306</v>
      </c>
      <c r="B307" t="s">
        <v>36</v>
      </c>
      <c r="C307" t="e">
        <v>#N/A</v>
      </c>
      <c r="D307" t="s">
        <v>19</v>
      </c>
      <c r="E307">
        <v>61174337.65</v>
      </c>
      <c r="F307">
        <v>2.16571</v>
      </c>
      <c r="G307">
        <v>22.30679</v>
      </c>
      <c r="I307">
        <v>1.13168</v>
      </c>
      <c r="J307">
        <v>0</v>
      </c>
    </row>
    <row r="308" spans="1:10">
      <c r="A308">
        <v>307</v>
      </c>
      <c r="B308" t="s">
        <v>36</v>
      </c>
      <c r="C308" t="e">
        <v>#N/A</v>
      </c>
      <c r="D308" t="s">
        <v>30</v>
      </c>
      <c r="E308">
        <v>289532206.96</v>
      </c>
      <c r="F308">
        <v>-117.23205</v>
      </c>
      <c r="G308">
        <v>1316.26861</v>
      </c>
      <c r="I308">
        <v>-1.18145</v>
      </c>
      <c r="J308">
        <v>1</v>
      </c>
    </row>
    <row r="309" spans="1:10">
      <c r="A309">
        <v>308</v>
      </c>
      <c r="B309" t="s">
        <v>36</v>
      </c>
      <c r="C309" t="e">
        <v>#N/A</v>
      </c>
      <c r="D309" t="s">
        <v>19</v>
      </c>
      <c r="E309">
        <v>178938393.38</v>
      </c>
      <c r="F309">
        <v>-3.98679</v>
      </c>
      <c r="G309">
        <v>-7.05739</v>
      </c>
      <c r="J309">
        <v>0</v>
      </c>
    </row>
    <row r="310" spans="1:10">
      <c r="A310">
        <v>309</v>
      </c>
      <c r="B310" t="s">
        <v>36</v>
      </c>
      <c r="C310" t="e">
        <v>#N/A</v>
      </c>
      <c r="D310" t="s">
        <v>19</v>
      </c>
      <c r="E310">
        <v>63378189.6</v>
      </c>
      <c r="F310">
        <v>-170.04318</v>
      </c>
      <c r="G310">
        <v>-56.21563</v>
      </c>
      <c r="J310">
        <v>0</v>
      </c>
    </row>
    <row r="311" spans="1:10">
      <c r="A311">
        <v>310</v>
      </c>
      <c r="B311" t="s">
        <v>36</v>
      </c>
      <c r="C311" t="e">
        <v>#N/A</v>
      </c>
      <c r="D311" t="s">
        <v>19</v>
      </c>
      <c r="E311">
        <v>231437681</v>
      </c>
      <c r="F311">
        <v>-34.3499</v>
      </c>
      <c r="G311">
        <v>-18.95728</v>
      </c>
      <c r="J311">
        <v>0</v>
      </c>
    </row>
    <row r="312" spans="1:10">
      <c r="A312">
        <v>311</v>
      </c>
      <c r="B312" t="s">
        <v>36</v>
      </c>
      <c r="C312" t="e">
        <v>#N/A</v>
      </c>
      <c r="D312" t="s">
        <v>19</v>
      </c>
      <c r="E312">
        <v>80657388.86</v>
      </c>
      <c r="F312">
        <v>99999999</v>
      </c>
      <c r="G312">
        <v>99999999</v>
      </c>
      <c r="J312">
        <v>0</v>
      </c>
    </row>
    <row r="313" spans="1:10">
      <c r="A313">
        <v>312</v>
      </c>
      <c r="B313" t="s">
        <v>36</v>
      </c>
      <c r="C313" t="e">
        <v>#N/A</v>
      </c>
      <c r="D313" t="s">
        <v>19</v>
      </c>
      <c r="E313">
        <v>10230194.91</v>
      </c>
      <c r="F313">
        <v>99999999</v>
      </c>
      <c r="G313">
        <v>99999999</v>
      </c>
      <c r="J313">
        <v>0</v>
      </c>
    </row>
    <row r="314" spans="1:10">
      <c r="A314">
        <v>313</v>
      </c>
      <c r="B314" t="s">
        <v>36</v>
      </c>
      <c r="C314" t="e">
        <v>#N/A</v>
      </c>
      <c r="D314" t="s">
        <v>19</v>
      </c>
      <c r="E314">
        <v>130630728.59</v>
      </c>
      <c r="F314">
        <v>-56.92352</v>
      </c>
      <c r="G314">
        <v>19.62317</v>
      </c>
      <c r="J314">
        <v>0</v>
      </c>
    </row>
    <row r="315" spans="1:10">
      <c r="A315">
        <v>314</v>
      </c>
      <c r="B315" t="s">
        <v>36</v>
      </c>
      <c r="C315" t="e">
        <v>#N/A</v>
      </c>
      <c r="D315" t="s">
        <v>19</v>
      </c>
      <c r="E315">
        <v>81505241.07</v>
      </c>
      <c r="F315">
        <v>1.53884</v>
      </c>
      <c r="G315">
        <v>6.715</v>
      </c>
      <c r="J315">
        <v>0</v>
      </c>
    </row>
    <row r="316" spans="1:10">
      <c r="A316">
        <v>315</v>
      </c>
      <c r="B316" t="s">
        <v>36</v>
      </c>
      <c r="C316" t="e">
        <v>#N/A</v>
      </c>
      <c r="D316" t="s">
        <v>19</v>
      </c>
      <c r="E316">
        <v>143489342.57</v>
      </c>
      <c r="F316">
        <v>-15.89497</v>
      </c>
      <c r="G316">
        <v>17.69834</v>
      </c>
      <c r="J316">
        <v>0</v>
      </c>
    </row>
    <row r="317" spans="1:10">
      <c r="A317">
        <v>316</v>
      </c>
      <c r="B317" t="s">
        <v>36</v>
      </c>
      <c r="C317" t="e">
        <v>#N/A</v>
      </c>
      <c r="D317" t="s">
        <v>30</v>
      </c>
      <c r="E317">
        <v>2493922.39</v>
      </c>
      <c r="F317">
        <v>-167.24189</v>
      </c>
      <c r="G317">
        <v>99999999</v>
      </c>
      <c r="J317">
        <v>0</v>
      </c>
    </row>
    <row r="318" spans="1:10">
      <c r="A318">
        <v>317</v>
      </c>
      <c r="B318" t="s">
        <v>36</v>
      </c>
      <c r="C318" t="e">
        <v>#N/A</v>
      </c>
      <c r="D318" t="s">
        <v>19</v>
      </c>
      <c r="E318">
        <v>112645191.77</v>
      </c>
      <c r="F318">
        <v>-79.43063</v>
      </c>
      <c r="G318">
        <v>99999999</v>
      </c>
      <c r="J318">
        <v>0</v>
      </c>
    </row>
    <row r="319" spans="1:10">
      <c r="A319">
        <v>318</v>
      </c>
      <c r="B319" t="s">
        <v>36</v>
      </c>
      <c r="C319" t="e">
        <v>#N/A</v>
      </c>
      <c r="D319" t="s">
        <v>19</v>
      </c>
      <c r="E319">
        <v>60704179.84</v>
      </c>
      <c r="F319">
        <v>1.90407</v>
      </c>
      <c r="G319">
        <v>29.37764</v>
      </c>
      <c r="J319">
        <v>0</v>
      </c>
    </row>
    <row r="320" spans="1:10">
      <c r="A320">
        <v>319</v>
      </c>
      <c r="B320" t="s">
        <v>36</v>
      </c>
      <c r="C320" t="e">
        <v>#N/A</v>
      </c>
      <c r="D320" t="s">
        <v>19</v>
      </c>
      <c r="E320">
        <v>1432601591.37</v>
      </c>
      <c r="F320">
        <v>0.59</v>
      </c>
      <c r="G320">
        <v>-13.06</v>
      </c>
      <c r="J320">
        <v>0</v>
      </c>
    </row>
    <row r="321" spans="1:10">
      <c r="A321">
        <v>320</v>
      </c>
      <c r="B321" t="s">
        <v>36</v>
      </c>
      <c r="C321" t="e">
        <v>#N/A</v>
      </c>
      <c r="D321" t="s">
        <v>19</v>
      </c>
      <c r="E321">
        <v>132345372.6</v>
      </c>
      <c r="F321">
        <v>-165.87972</v>
      </c>
      <c r="G321">
        <v>9.80781</v>
      </c>
      <c r="J321">
        <v>0</v>
      </c>
    </row>
    <row r="322" spans="1:10">
      <c r="A322">
        <v>321</v>
      </c>
      <c r="B322" t="s">
        <v>36</v>
      </c>
      <c r="C322" t="e">
        <v>#N/A</v>
      </c>
      <c r="D322" t="s">
        <v>34</v>
      </c>
      <c r="E322">
        <v>5000000</v>
      </c>
      <c r="F322">
        <v>99999999</v>
      </c>
      <c r="G322">
        <v>99999999</v>
      </c>
      <c r="J322">
        <v>0</v>
      </c>
    </row>
    <row r="323" spans="1:10">
      <c r="A323">
        <v>322</v>
      </c>
      <c r="B323" t="s">
        <v>36</v>
      </c>
      <c r="C323" t="e">
        <v>#N/A</v>
      </c>
      <c r="D323" t="s">
        <v>34</v>
      </c>
      <c r="E323">
        <v>5000000</v>
      </c>
      <c r="F323">
        <v>99999999</v>
      </c>
      <c r="G323">
        <v>99999999</v>
      </c>
      <c r="J323">
        <v>0</v>
      </c>
    </row>
    <row r="324" spans="1:10">
      <c r="A324">
        <v>323</v>
      </c>
      <c r="B324" t="s">
        <v>36</v>
      </c>
      <c r="C324" t="e">
        <v>#N/A</v>
      </c>
      <c r="D324" t="s">
        <v>26</v>
      </c>
      <c r="E324">
        <v>568598207.78</v>
      </c>
      <c r="F324">
        <v>-44.92388</v>
      </c>
      <c r="G324">
        <v>40.46133</v>
      </c>
      <c r="J324">
        <v>0</v>
      </c>
    </row>
    <row r="325" spans="1:10">
      <c r="A325">
        <v>324</v>
      </c>
      <c r="B325" t="s">
        <v>36</v>
      </c>
      <c r="C325" t="e">
        <v>#N/A</v>
      </c>
      <c r="D325" t="s">
        <v>30</v>
      </c>
      <c r="E325">
        <v>120910386</v>
      </c>
      <c r="F325">
        <v>99999999</v>
      </c>
      <c r="G325">
        <v>-100</v>
      </c>
      <c r="J325">
        <v>0</v>
      </c>
    </row>
    <row r="326" spans="1:10">
      <c r="A326">
        <v>325</v>
      </c>
      <c r="B326" t="s">
        <v>17</v>
      </c>
      <c r="C326" t="s">
        <v>18</v>
      </c>
      <c r="D326" t="s">
        <v>19</v>
      </c>
      <c r="E326">
        <v>42257593.34</v>
      </c>
      <c r="F326">
        <v>-90.68289</v>
      </c>
      <c r="G326">
        <v>-47.63315</v>
      </c>
      <c r="H326">
        <v>99999998</v>
      </c>
      <c r="I326">
        <v>-0.0421</v>
      </c>
      <c r="J326">
        <v>0</v>
      </c>
    </row>
    <row r="327" spans="1:10">
      <c r="A327">
        <v>326</v>
      </c>
      <c r="B327" t="s">
        <v>36</v>
      </c>
      <c r="C327" t="e">
        <v>#N/A</v>
      </c>
      <c r="D327" t="s">
        <v>34</v>
      </c>
      <c r="J327">
        <v>0</v>
      </c>
    </row>
    <row r="328" spans="1:10">
      <c r="A328">
        <v>327</v>
      </c>
      <c r="B328" t="s">
        <v>36</v>
      </c>
      <c r="C328" t="e">
        <v>#N/A</v>
      </c>
      <c r="D328" t="s">
        <v>19</v>
      </c>
      <c r="E328">
        <v>788823992</v>
      </c>
      <c r="F328">
        <v>0.63857</v>
      </c>
      <c r="G328">
        <v>11.76892</v>
      </c>
      <c r="I328">
        <v>0.92291</v>
      </c>
      <c r="J328">
        <v>0</v>
      </c>
    </row>
    <row r="329" spans="1:10">
      <c r="A329">
        <v>328</v>
      </c>
      <c r="B329" t="s">
        <v>17</v>
      </c>
      <c r="C329" t="s">
        <v>18</v>
      </c>
      <c r="D329" t="s">
        <v>19</v>
      </c>
      <c r="E329">
        <v>153955770</v>
      </c>
      <c r="F329">
        <v>0.99656</v>
      </c>
      <c r="G329">
        <v>4.01679</v>
      </c>
      <c r="H329">
        <v>99999998</v>
      </c>
      <c r="I329">
        <v>0.71156</v>
      </c>
      <c r="J329">
        <v>0</v>
      </c>
    </row>
    <row r="330" spans="1:10">
      <c r="A330">
        <v>329</v>
      </c>
      <c r="B330" t="s">
        <v>17</v>
      </c>
      <c r="C330" t="s">
        <v>18</v>
      </c>
      <c r="D330" t="s">
        <v>19</v>
      </c>
      <c r="E330">
        <v>109388670</v>
      </c>
      <c r="F330">
        <v>13.35422</v>
      </c>
      <c r="H330">
        <v>99999998</v>
      </c>
      <c r="I330">
        <v>4.01807</v>
      </c>
      <c r="J330">
        <v>0</v>
      </c>
    </row>
    <row r="331" spans="1:10">
      <c r="A331">
        <v>330</v>
      </c>
      <c r="B331" t="s">
        <v>17</v>
      </c>
      <c r="C331" t="s">
        <v>18</v>
      </c>
      <c r="D331" t="s">
        <v>29</v>
      </c>
      <c r="E331">
        <v>87813561.42</v>
      </c>
      <c r="F331">
        <v>-7.48181</v>
      </c>
      <c r="G331">
        <v>-1.00063</v>
      </c>
      <c r="H331">
        <v>0.73707</v>
      </c>
      <c r="I331">
        <v>0.4171</v>
      </c>
      <c r="J331">
        <v>0</v>
      </c>
    </row>
    <row r="332" spans="1:10">
      <c r="A332">
        <v>331</v>
      </c>
      <c r="B332" t="s">
        <v>17</v>
      </c>
      <c r="C332" t="s">
        <v>18</v>
      </c>
      <c r="D332" t="s">
        <v>19</v>
      </c>
      <c r="E332">
        <v>268464302.77</v>
      </c>
      <c r="F332">
        <v>1.83753</v>
      </c>
      <c r="G332">
        <v>-6.32157</v>
      </c>
      <c r="H332">
        <v>-2.32177</v>
      </c>
      <c r="I332">
        <v>0.97408</v>
      </c>
      <c r="J332">
        <v>0</v>
      </c>
    </row>
    <row r="333" spans="1:10">
      <c r="A333">
        <v>332</v>
      </c>
      <c r="B333" t="s">
        <v>17</v>
      </c>
      <c r="C333" t="s">
        <v>18</v>
      </c>
      <c r="D333" t="s">
        <v>19</v>
      </c>
      <c r="E333">
        <v>1501683763.8</v>
      </c>
      <c r="F333">
        <v>2.47323</v>
      </c>
      <c r="G333">
        <v>-7.20242</v>
      </c>
      <c r="H333">
        <v>1.13546</v>
      </c>
      <c r="I333">
        <v>0.5106</v>
      </c>
      <c r="J333">
        <v>0</v>
      </c>
    </row>
    <row r="334" spans="1:10">
      <c r="A334">
        <v>333</v>
      </c>
      <c r="B334" t="s">
        <v>17</v>
      </c>
      <c r="C334" t="s">
        <v>18</v>
      </c>
      <c r="D334" t="s">
        <v>19</v>
      </c>
      <c r="E334">
        <v>32564374.86</v>
      </c>
      <c r="F334">
        <v>-8.35055</v>
      </c>
      <c r="G334">
        <v>194.13382</v>
      </c>
      <c r="H334">
        <v>99999998</v>
      </c>
      <c r="I334">
        <v>0.63812</v>
      </c>
      <c r="J334">
        <v>0</v>
      </c>
    </row>
    <row r="335" spans="1:10">
      <c r="A335">
        <v>334</v>
      </c>
      <c r="B335" t="s">
        <v>36</v>
      </c>
      <c r="C335" t="e">
        <v>#N/A</v>
      </c>
      <c r="D335" t="s">
        <v>19</v>
      </c>
      <c r="E335">
        <v>18266435.16</v>
      </c>
      <c r="F335">
        <v>-133.45869</v>
      </c>
      <c r="G335">
        <v>99999999</v>
      </c>
      <c r="I335">
        <v>-0.40634</v>
      </c>
      <c r="J335">
        <v>0</v>
      </c>
    </row>
    <row r="336" spans="1:10">
      <c r="A336">
        <v>335</v>
      </c>
      <c r="B336" t="s">
        <v>36</v>
      </c>
      <c r="C336" t="e">
        <v>#N/A</v>
      </c>
      <c r="D336" t="s">
        <v>19</v>
      </c>
      <c r="E336">
        <v>42135.66</v>
      </c>
      <c r="F336">
        <v>99999999</v>
      </c>
      <c r="G336">
        <v>99999999</v>
      </c>
      <c r="H336">
        <v>99999999</v>
      </c>
      <c r="J336">
        <v>0</v>
      </c>
    </row>
    <row r="337" spans="1:10">
      <c r="A337">
        <v>336</v>
      </c>
      <c r="B337" t="s">
        <v>36</v>
      </c>
      <c r="C337" t="e">
        <v>#N/A</v>
      </c>
      <c r="D337" t="s">
        <v>34</v>
      </c>
      <c r="J337">
        <v>0</v>
      </c>
    </row>
    <row r="338" spans="1:10">
      <c r="A338">
        <v>337</v>
      </c>
      <c r="B338" t="s">
        <v>17</v>
      </c>
      <c r="C338" t="s">
        <v>25</v>
      </c>
      <c r="D338" t="s">
        <v>19</v>
      </c>
      <c r="E338">
        <v>82726206.32</v>
      </c>
      <c r="F338">
        <v>-8.32857</v>
      </c>
      <c r="G338">
        <v>-41.44583</v>
      </c>
      <c r="H338">
        <v>0.59138</v>
      </c>
      <c r="I338">
        <v>0.41027</v>
      </c>
      <c r="J338">
        <v>0</v>
      </c>
    </row>
    <row r="339" spans="1:10">
      <c r="A339">
        <v>338</v>
      </c>
      <c r="B339" t="s">
        <v>17</v>
      </c>
      <c r="C339" t="s">
        <v>25</v>
      </c>
      <c r="D339" t="s">
        <v>19</v>
      </c>
      <c r="E339">
        <v>109340557.27</v>
      </c>
      <c r="F339">
        <v>-141.63</v>
      </c>
      <c r="G339">
        <v>-73.49</v>
      </c>
      <c r="H339">
        <v>99999998</v>
      </c>
      <c r="I339">
        <v>-0.50412</v>
      </c>
      <c r="J339">
        <v>0</v>
      </c>
    </row>
    <row r="340" spans="1:10">
      <c r="A340">
        <v>339</v>
      </c>
      <c r="B340" t="s">
        <v>22</v>
      </c>
      <c r="C340" t="s">
        <v>25</v>
      </c>
      <c r="D340" t="s">
        <v>33</v>
      </c>
      <c r="E340">
        <v>219104636.81</v>
      </c>
      <c r="F340">
        <v>-185.21139</v>
      </c>
      <c r="G340">
        <v>-76.3637</v>
      </c>
      <c r="H340">
        <v>-2.01788</v>
      </c>
      <c r="I340">
        <v>-0.39196</v>
      </c>
      <c r="J340">
        <v>0</v>
      </c>
    </row>
    <row r="341" spans="1:10">
      <c r="A341">
        <v>340</v>
      </c>
      <c r="B341" t="s">
        <v>22</v>
      </c>
      <c r="C341" t="s">
        <v>25</v>
      </c>
      <c r="D341" t="s">
        <v>33</v>
      </c>
      <c r="E341">
        <v>1402573142.59</v>
      </c>
      <c r="F341">
        <v>-265.07819</v>
      </c>
      <c r="G341">
        <v>-77.35641</v>
      </c>
      <c r="H341">
        <v>2.67223</v>
      </c>
      <c r="I341">
        <v>-0.01394</v>
      </c>
      <c r="J341">
        <v>0</v>
      </c>
    </row>
    <row r="342" spans="1:10">
      <c r="A342">
        <v>341</v>
      </c>
      <c r="B342" t="s">
        <v>17</v>
      </c>
      <c r="C342" t="s">
        <v>23</v>
      </c>
      <c r="D342" t="s">
        <v>19</v>
      </c>
      <c r="E342">
        <v>55274035</v>
      </c>
      <c r="F342">
        <v>-30.64538</v>
      </c>
      <c r="G342">
        <v>-53.56085</v>
      </c>
      <c r="H342">
        <v>99999998</v>
      </c>
      <c r="I342">
        <v>-0.11161</v>
      </c>
      <c r="J342">
        <v>0</v>
      </c>
    </row>
    <row r="343" spans="1:10">
      <c r="A343">
        <v>342</v>
      </c>
      <c r="B343" t="s">
        <v>17</v>
      </c>
      <c r="C343" t="s">
        <v>25</v>
      </c>
      <c r="D343" t="s">
        <v>19</v>
      </c>
      <c r="E343">
        <v>120512078.77</v>
      </c>
      <c r="F343">
        <v>-6.30577</v>
      </c>
      <c r="G343">
        <v>-1.34693</v>
      </c>
      <c r="H343">
        <v>99999998</v>
      </c>
      <c r="I343">
        <v>0.75873</v>
      </c>
      <c r="J343">
        <v>0</v>
      </c>
    </row>
    <row r="344" spans="1:10">
      <c r="A344">
        <v>343</v>
      </c>
      <c r="B344" t="s">
        <v>17</v>
      </c>
      <c r="C344" t="s">
        <v>23</v>
      </c>
      <c r="D344" t="s">
        <v>19</v>
      </c>
      <c r="E344">
        <v>59779520</v>
      </c>
      <c r="F344">
        <v>3.40318</v>
      </c>
      <c r="G344">
        <v>-10.72548</v>
      </c>
      <c r="H344">
        <v>7.42198</v>
      </c>
      <c r="I344">
        <v>1.20288</v>
      </c>
      <c r="J344">
        <v>0</v>
      </c>
    </row>
    <row r="345" spans="1:10">
      <c r="A345">
        <v>344</v>
      </c>
      <c r="B345" t="s">
        <v>17</v>
      </c>
      <c r="C345" t="s">
        <v>18</v>
      </c>
      <c r="D345" t="s">
        <v>19</v>
      </c>
      <c r="E345">
        <v>99499255.54</v>
      </c>
      <c r="F345">
        <v>17.37166</v>
      </c>
      <c r="G345">
        <v>-3.17791</v>
      </c>
      <c r="H345">
        <v>99999998</v>
      </c>
      <c r="I345">
        <v>1.46322</v>
      </c>
      <c r="J345">
        <v>0</v>
      </c>
    </row>
    <row r="346" spans="1:10">
      <c r="A346">
        <v>345</v>
      </c>
      <c r="B346" t="s">
        <v>17</v>
      </c>
      <c r="C346" t="s">
        <v>25</v>
      </c>
      <c r="D346" t="s">
        <v>26</v>
      </c>
      <c r="E346">
        <v>245302516.01</v>
      </c>
      <c r="F346">
        <v>-6.16246</v>
      </c>
      <c r="G346">
        <v>-15.42298</v>
      </c>
      <c r="H346">
        <v>-2.3981</v>
      </c>
      <c r="I346">
        <v>0.79168</v>
      </c>
      <c r="J346">
        <v>0</v>
      </c>
    </row>
    <row r="347" spans="1:10">
      <c r="A347">
        <v>346</v>
      </c>
      <c r="B347" t="s">
        <v>17</v>
      </c>
      <c r="C347" t="s">
        <v>25</v>
      </c>
      <c r="D347" t="s">
        <v>26</v>
      </c>
      <c r="E347">
        <v>1459908140.39</v>
      </c>
      <c r="F347">
        <v>-20.76754</v>
      </c>
      <c r="G347">
        <v>-29.99861</v>
      </c>
      <c r="H347">
        <v>1.96698</v>
      </c>
      <c r="I347">
        <v>0.29458</v>
      </c>
      <c r="J347">
        <v>0</v>
      </c>
    </row>
    <row r="348" spans="1:10">
      <c r="A348">
        <v>347</v>
      </c>
      <c r="B348" t="s">
        <v>17</v>
      </c>
      <c r="C348" t="s">
        <v>18</v>
      </c>
      <c r="D348" t="s">
        <v>19</v>
      </c>
      <c r="E348">
        <v>144767223.99</v>
      </c>
      <c r="F348">
        <v>10.68378</v>
      </c>
      <c r="G348">
        <v>8.65911</v>
      </c>
      <c r="H348">
        <v>99999998</v>
      </c>
      <c r="I348">
        <v>0.98221</v>
      </c>
      <c r="J348">
        <v>0</v>
      </c>
    </row>
    <row r="349" spans="1:10">
      <c r="A349">
        <v>348</v>
      </c>
      <c r="B349" t="s">
        <v>17</v>
      </c>
      <c r="C349" t="s">
        <v>18</v>
      </c>
      <c r="D349" t="s">
        <v>19</v>
      </c>
      <c r="E349">
        <v>153955770</v>
      </c>
      <c r="F349">
        <v>1</v>
      </c>
      <c r="G349">
        <v>4.02</v>
      </c>
      <c r="H349">
        <v>99999998</v>
      </c>
      <c r="I349">
        <v>0.71156</v>
      </c>
      <c r="J349">
        <v>0</v>
      </c>
    </row>
    <row r="350" spans="1:10">
      <c r="A350">
        <v>349</v>
      </c>
      <c r="B350" t="s">
        <v>17</v>
      </c>
      <c r="C350" t="s">
        <v>18</v>
      </c>
      <c r="D350" t="s">
        <v>19</v>
      </c>
      <c r="E350">
        <v>109388670</v>
      </c>
      <c r="F350">
        <v>13.35422</v>
      </c>
      <c r="G350">
        <v>27.18867</v>
      </c>
      <c r="H350">
        <v>99999998</v>
      </c>
      <c r="I350">
        <v>1.18448</v>
      </c>
      <c r="J350">
        <v>0</v>
      </c>
    </row>
    <row r="351" spans="1:10">
      <c r="A351">
        <v>350</v>
      </c>
      <c r="B351" t="s">
        <v>17</v>
      </c>
      <c r="C351" t="s">
        <v>18</v>
      </c>
      <c r="D351" t="s">
        <v>19</v>
      </c>
      <c r="E351">
        <v>76257106</v>
      </c>
      <c r="F351">
        <v>3.9454</v>
      </c>
      <c r="G351">
        <v>-0.43218</v>
      </c>
      <c r="H351">
        <v>22.22327</v>
      </c>
      <c r="I351">
        <v>1.19151</v>
      </c>
      <c r="J351">
        <v>0</v>
      </c>
    </row>
    <row r="352" spans="1:10">
      <c r="A352">
        <v>351</v>
      </c>
      <c r="B352" t="s">
        <v>17</v>
      </c>
      <c r="C352" t="s">
        <v>18</v>
      </c>
      <c r="D352" t="s">
        <v>19</v>
      </c>
      <c r="E352">
        <v>271956421.9</v>
      </c>
      <c r="F352">
        <v>5.71254</v>
      </c>
      <c r="G352">
        <v>7.9069</v>
      </c>
      <c r="H352">
        <v>5.00194</v>
      </c>
      <c r="I352">
        <v>1.09122</v>
      </c>
      <c r="J352">
        <v>0</v>
      </c>
    </row>
    <row r="353" spans="1:10">
      <c r="A353">
        <v>352</v>
      </c>
      <c r="B353" t="s">
        <v>17</v>
      </c>
      <c r="C353" t="s">
        <v>18</v>
      </c>
      <c r="D353" t="s">
        <v>19</v>
      </c>
      <c r="E353">
        <v>1502921423.2</v>
      </c>
      <c r="F353">
        <v>5.13</v>
      </c>
      <c r="G353">
        <v>1.36</v>
      </c>
      <c r="H353">
        <v>0.85262</v>
      </c>
      <c r="I353">
        <v>0.65991</v>
      </c>
      <c r="J353">
        <v>0</v>
      </c>
    </row>
    <row r="354" spans="1:10">
      <c r="A354">
        <v>353</v>
      </c>
      <c r="B354" t="s">
        <v>17</v>
      </c>
      <c r="C354" t="s">
        <v>18</v>
      </c>
      <c r="D354" t="s">
        <v>19</v>
      </c>
      <c r="E354">
        <v>297546200.21</v>
      </c>
      <c r="F354">
        <v>99999999</v>
      </c>
      <c r="G354">
        <v>12.29752</v>
      </c>
      <c r="H354">
        <v>-2.58447</v>
      </c>
      <c r="I354">
        <v>1.00609</v>
      </c>
      <c r="J354">
        <v>0</v>
      </c>
    </row>
    <row r="355" spans="1:10">
      <c r="A355">
        <v>354</v>
      </c>
      <c r="B355" t="s">
        <v>17</v>
      </c>
      <c r="C355" t="s">
        <v>18</v>
      </c>
      <c r="D355" t="s">
        <v>19</v>
      </c>
      <c r="E355">
        <v>1475927279.84</v>
      </c>
      <c r="F355">
        <v>5.04227</v>
      </c>
      <c r="G355">
        <v>10.9865</v>
      </c>
      <c r="H355">
        <v>1.00138</v>
      </c>
      <c r="I355">
        <v>0.73141</v>
      </c>
      <c r="J355">
        <v>0</v>
      </c>
    </row>
    <row r="356" spans="1:10">
      <c r="A356">
        <v>355</v>
      </c>
      <c r="B356" t="s">
        <v>17</v>
      </c>
      <c r="C356" t="s">
        <v>18</v>
      </c>
      <c r="D356" t="s">
        <v>19</v>
      </c>
      <c r="E356">
        <v>84853246</v>
      </c>
      <c r="F356">
        <v>4.86646</v>
      </c>
      <c r="G356">
        <v>25.75488</v>
      </c>
      <c r="H356">
        <v>4.85159</v>
      </c>
      <c r="I356">
        <v>2.08199</v>
      </c>
      <c r="J356">
        <v>0</v>
      </c>
    </row>
    <row r="357" spans="1:10">
      <c r="A357">
        <v>356</v>
      </c>
      <c r="B357" t="s">
        <v>36</v>
      </c>
      <c r="C357" t="e">
        <v>#N/A</v>
      </c>
      <c r="D357" t="s">
        <v>32</v>
      </c>
      <c r="E357">
        <v>155078349.31</v>
      </c>
      <c r="F357">
        <v>-12.00469</v>
      </c>
      <c r="G357">
        <v>49.07856</v>
      </c>
      <c r="I357">
        <v>-0.08844</v>
      </c>
      <c r="J357">
        <v>0</v>
      </c>
    </row>
    <row r="358" spans="1:10">
      <c r="A358">
        <v>357</v>
      </c>
      <c r="B358" t="s">
        <v>36</v>
      </c>
      <c r="C358" t="e">
        <v>#N/A</v>
      </c>
      <c r="D358" t="s">
        <v>19</v>
      </c>
      <c r="E358">
        <v>2059374.27</v>
      </c>
      <c r="F358">
        <v>2.18714</v>
      </c>
      <c r="G358">
        <v>99999999</v>
      </c>
      <c r="I358">
        <v>0.78946</v>
      </c>
      <c r="J358">
        <v>0</v>
      </c>
    </row>
    <row r="359" spans="1:10">
      <c r="A359">
        <v>358</v>
      </c>
      <c r="B359" t="s">
        <v>36</v>
      </c>
      <c r="C359" t="e">
        <v>#N/A</v>
      </c>
      <c r="D359" t="s">
        <v>19</v>
      </c>
      <c r="E359">
        <v>111708756.89</v>
      </c>
      <c r="F359">
        <v>0.32253</v>
      </c>
      <c r="G359">
        <v>45.09953</v>
      </c>
      <c r="I359">
        <v>1.31862</v>
      </c>
      <c r="J359">
        <v>0</v>
      </c>
    </row>
    <row r="360" spans="1:10">
      <c r="A360">
        <v>359</v>
      </c>
      <c r="B360" t="s">
        <v>36</v>
      </c>
      <c r="C360" t="e">
        <v>#N/A</v>
      </c>
      <c r="D360" t="s">
        <v>19</v>
      </c>
      <c r="E360">
        <v>116205985.79</v>
      </c>
      <c r="F360">
        <v>-21.65</v>
      </c>
      <c r="G360">
        <v>-7.86</v>
      </c>
      <c r="I360">
        <v>0.27915</v>
      </c>
      <c r="J360">
        <v>0</v>
      </c>
    </row>
    <row r="361" spans="1:10">
      <c r="A361">
        <v>360</v>
      </c>
      <c r="B361" t="s">
        <v>36</v>
      </c>
      <c r="C361" t="e">
        <v>#N/A</v>
      </c>
      <c r="D361" t="s">
        <v>39</v>
      </c>
      <c r="E361">
        <v>173923208.06</v>
      </c>
      <c r="F361">
        <v>0.23</v>
      </c>
      <c r="G361">
        <v>-14.28</v>
      </c>
      <c r="I361">
        <v>0.83458</v>
      </c>
      <c r="J361">
        <v>0</v>
      </c>
    </row>
    <row r="362" spans="1:10">
      <c r="A362">
        <v>361</v>
      </c>
      <c r="B362" t="s">
        <v>36</v>
      </c>
      <c r="C362" t="e">
        <v>#N/A</v>
      </c>
      <c r="D362" t="s">
        <v>19</v>
      </c>
      <c r="E362">
        <v>134078163.12</v>
      </c>
      <c r="F362">
        <v>-37.60586</v>
      </c>
      <c r="G362">
        <v>-0.85086</v>
      </c>
      <c r="I362">
        <v>0.08764</v>
      </c>
      <c r="J362">
        <v>0</v>
      </c>
    </row>
    <row r="363" spans="1:10">
      <c r="A363">
        <v>362</v>
      </c>
      <c r="B363" t="s">
        <v>36</v>
      </c>
      <c r="C363" t="e">
        <v>#N/A</v>
      </c>
      <c r="D363" t="s">
        <v>19</v>
      </c>
      <c r="E363">
        <v>111402685.46</v>
      </c>
      <c r="F363">
        <v>-45.36059</v>
      </c>
      <c r="G363">
        <v>36.87905</v>
      </c>
      <c r="I363">
        <v>-0.12814</v>
      </c>
      <c r="J363">
        <v>0</v>
      </c>
    </row>
    <row r="364" spans="1:10">
      <c r="A364">
        <v>363</v>
      </c>
      <c r="B364" t="s">
        <v>36</v>
      </c>
      <c r="C364" t="e">
        <v>#N/A</v>
      </c>
      <c r="D364" t="s">
        <v>19</v>
      </c>
      <c r="E364">
        <v>165085709.56</v>
      </c>
      <c r="F364">
        <v>-59.05161</v>
      </c>
      <c r="G364">
        <v>-34.42784</v>
      </c>
      <c r="I364">
        <v>-0.00319</v>
      </c>
      <c r="J364">
        <v>0</v>
      </c>
    </row>
    <row r="365" spans="1:10">
      <c r="A365">
        <v>364</v>
      </c>
      <c r="B365" t="s">
        <v>36</v>
      </c>
      <c r="C365" t="e">
        <v>#N/A</v>
      </c>
      <c r="D365" t="s">
        <v>30</v>
      </c>
      <c r="E365">
        <v>10713479.54</v>
      </c>
      <c r="F365">
        <v>-16.45291</v>
      </c>
      <c r="G365">
        <v>-12.8972</v>
      </c>
      <c r="I365">
        <v>0.77121</v>
      </c>
      <c r="J365">
        <v>0</v>
      </c>
    </row>
    <row r="366" spans="1:10">
      <c r="A366">
        <v>365</v>
      </c>
      <c r="B366" t="s">
        <v>36</v>
      </c>
      <c r="C366" t="e">
        <v>#N/A</v>
      </c>
      <c r="D366" t="s">
        <v>19</v>
      </c>
      <c r="E366">
        <v>2675300</v>
      </c>
      <c r="F366">
        <v>99999999</v>
      </c>
      <c r="G366">
        <v>99999999</v>
      </c>
      <c r="I366">
        <v>0.07927</v>
      </c>
      <c r="J366">
        <v>0</v>
      </c>
    </row>
    <row r="367" spans="1:10">
      <c r="A367">
        <v>366</v>
      </c>
      <c r="B367" t="s">
        <v>36</v>
      </c>
      <c r="C367" t="e">
        <v>#N/A</v>
      </c>
      <c r="D367" t="s">
        <v>19</v>
      </c>
      <c r="E367">
        <v>92084477.77</v>
      </c>
      <c r="F367">
        <v>-46.87498</v>
      </c>
      <c r="G367">
        <v>-1.81885</v>
      </c>
      <c r="H367">
        <v>99999999</v>
      </c>
      <c r="I367">
        <v>-0.24856</v>
      </c>
      <c r="J367">
        <v>0</v>
      </c>
    </row>
    <row r="368" spans="1:10">
      <c r="A368">
        <v>367</v>
      </c>
      <c r="B368" t="s">
        <v>36</v>
      </c>
      <c r="C368" t="e">
        <v>#N/A</v>
      </c>
      <c r="D368" t="s">
        <v>19</v>
      </c>
      <c r="E368">
        <v>1026143.88</v>
      </c>
      <c r="F368">
        <v>99999999</v>
      </c>
      <c r="G368">
        <v>99999999</v>
      </c>
      <c r="J368">
        <v>0</v>
      </c>
    </row>
    <row r="369" spans="1:10">
      <c r="A369">
        <v>368</v>
      </c>
      <c r="B369" t="s">
        <v>36</v>
      </c>
      <c r="C369" t="e">
        <v>#N/A</v>
      </c>
      <c r="D369" t="s">
        <v>19</v>
      </c>
      <c r="E369">
        <v>105609094.08</v>
      </c>
      <c r="F369">
        <v>-63.78981</v>
      </c>
      <c r="G369">
        <v>-28.33375</v>
      </c>
      <c r="J369">
        <v>0</v>
      </c>
    </row>
    <row r="370" spans="1:10">
      <c r="A370">
        <v>369</v>
      </c>
      <c r="B370" t="s">
        <v>36</v>
      </c>
      <c r="C370" t="e">
        <v>#N/A</v>
      </c>
      <c r="D370" t="s">
        <v>34</v>
      </c>
      <c r="E370">
        <v>61053731.59</v>
      </c>
      <c r="F370">
        <v>17.32448</v>
      </c>
      <c r="G370">
        <v>167.15648</v>
      </c>
      <c r="J370">
        <v>0</v>
      </c>
    </row>
    <row r="371" spans="1:10">
      <c r="A371">
        <v>370</v>
      </c>
      <c r="B371" t="s">
        <v>36</v>
      </c>
      <c r="C371" t="e">
        <v>#N/A</v>
      </c>
      <c r="D371" t="s">
        <v>32</v>
      </c>
      <c r="E371">
        <v>110493487.84</v>
      </c>
      <c r="F371">
        <v>-0.26602</v>
      </c>
      <c r="G371">
        <v>-4.31129</v>
      </c>
      <c r="I371">
        <v>0.78617</v>
      </c>
      <c r="J371">
        <v>0</v>
      </c>
    </row>
    <row r="372" spans="1:10">
      <c r="A372">
        <v>371</v>
      </c>
      <c r="B372" t="s">
        <v>17</v>
      </c>
      <c r="C372" t="s">
        <v>18</v>
      </c>
      <c r="D372" t="s">
        <v>19</v>
      </c>
      <c r="E372">
        <v>19800928.66</v>
      </c>
      <c r="F372">
        <v>-157.60928</v>
      </c>
      <c r="G372">
        <v>-68.26738</v>
      </c>
      <c r="H372">
        <v>0.32937</v>
      </c>
      <c r="I372">
        <v>0.84181</v>
      </c>
      <c r="J372">
        <v>0</v>
      </c>
    </row>
    <row r="373" spans="1:10">
      <c r="A373">
        <v>372</v>
      </c>
      <c r="B373" t="s">
        <v>17</v>
      </c>
      <c r="C373" t="s">
        <v>18</v>
      </c>
      <c r="D373" t="s">
        <v>30</v>
      </c>
      <c r="E373">
        <v>98874778.1</v>
      </c>
      <c r="F373">
        <v>336.12324</v>
      </c>
      <c r="G373">
        <v>-70.95496</v>
      </c>
      <c r="H373">
        <v>99999998</v>
      </c>
      <c r="I373">
        <v>1.77342</v>
      </c>
      <c r="J373">
        <v>0</v>
      </c>
    </row>
    <row r="374" spans="1:10">
      <c r="A374">
        <v>373</v>
      </c>
      <c r="B374" t="s">
        <v>20</v>
      </c>
      <c r="C374" t="s">
        <v>25</v>
      </c>
      <c r="D374" t="s">
        <v>19</v>
      </c>
      <c r="E374">
        <v>83511692.9</v>
      </c>
      <c r="F374">
        <v>-87.91</v>
      </c>
      <c r="G374">
        <v>-70.78</v>
      </c>
      <c r="H374">
        <v>99999998</v>
      </c>
      <c r="I374">
        <v>0.09345</v>
      </c>
      <c r="J374">
        <v>0</v>
      </c>
    </row>
    <row r="375" spans="1:10">
      <c r="A375">
        <v>374</v>
      </c>
      <c r="B375" t="s">
        <v>17</v>
      </c>
      <c r="C375" t="s">
        <v>23</v>
      </c>
      <c r="D375" t="s">
        <v>19</v>
      </c>
      <c r="E375">
        <v>10399287.71</v>
      </c>
      <c r="F375">
        <v>99999999</v>
      </c>
      <c r="G375">
        <v>-100</v>
      </c>
      <c r="H375">
        <v>99999998</v>
      </c>
      <c r="I375">
        <v>0.09801</v>
      </c>
      <c r="J375">
        <v>0</v>
      </c>
    </row>
    <row r="376" spans="1:10">
      <c r="A376">
        <v>375</v>
      </c>
      <c r="B376" t="s">
        <v>22</v>
      </c>
      <c r="C376" t="s">
        <v>21</v>
      </c>
      <c r="D376" t="s">
        <v>33</v>
      </c>
      <c r="E376">
        <v>35839925.55</v>
      </c>
      <c r="F376">
        <v>-1001.20408</v>
      </c>
      <c r="G376">
        <v>-50.66752</v>
      </c>
      <c r="H376">
        <v>99999998</v>
      </c>
      <c r="I376">
        <v>-0.16472</v>
      </c>
      <c r="J376">
        <v>0</v>
      </c>
    </row>
    <row r="377" spans="1:10">
      <c r="A377">
        <v>376</v>
      </c>
      <c r="B377" t="s">
        <v>17</v>
      </c>
      <c r="C377" t="s">
        <v>18</v>
      </c>
      <c r="D377" t="s">
        <v>30</v>
      </c>
      <c r="E377">
        <v>82081166.79</v>
      </c>
      <c r="F377">
        <v>2.07385</v>
      </c>
      <c r="G377">
        <v>58.86606</v>
      </c>
      <c r="H377">
        <v>-6.26962</v>
      </c>
      <c r="I377">
        <v>0.89351</v>
      </c>
      <c r="J377">
        <v>0</v>
      </c>
    </row>
    <row r="378" spans="1:10">
      <c r="A378">
        <v>377</v>
      </c>
      <c r="B378" t="s">
        <v>17</v>
      </c>
      <c r="C378" t="s">
        <v>18</v>
      </c>
      <c r="D378" t="s">
        <v>30</v>
      </c>
      <c r="E378">
        <v>82223733.67</v>
      </c>
      <c r="F378">
        <v>-89.93614</v>
      </c>
      <c r="G378">
        <v>-45.95799</v>
      </c>
      <c r="H378">
        <v>33.07834</v>
      </c>
      <c r="I378">
        <v>0.12361</v>
      </c>
      <c r="J378">
        <v>0</v>
      </c>
    </row>
    <row r="379" spans="1:10">
      <c r="A379">
        <v>378</v>
      </c>
      <c r="B379" t="s">
        <v>17</v>
      </c>
      <c r="C379" t="s">
        <v>18</v>
      </c>
      <c r="D379" t="s">
        <v>30</v>
      </c>
      <c r="E379">
        <v>134526876.41</v>
      </c>
      <c r="F379">
        <v>-19.3</v>
      </c>
      <c r="G379">
        <v>425.56</v>
      </c>
      <c r="H379">
        <v>99999998</v>
      </c>
      <c r="I379">
        <v>0.12998</v>
      </c>
      <c r="J379">
        <v>0</v>
      </c>
    </row>
    <row r="380" spans="1:10">
      <c r="A380">
        <v>379</v>
      </c>
      <c r="B380" t="s">
        <v>17</v>
      </c>
      <c r="C380" t="s">
        <v>18</v>
      </c>
      <c r="D380" t="s">
        <v>32</v>
      </c>
      <c r="E380">
        <v>6768848.17</v>
      </c>
      <c r="F380">
        <v>-83.10191</v>
      </c>
      <c r="H380">
        <v>2.42254</v>
      </c>
      <c r="I380">
        <v>-1.68521</v>
      </c>
      <c r="J380">
        <v>0</v>
      </c>
    </row>
    <row r="381" spans="1:10">
      <c r="A381">
        <v>380</v>
      </c>
      <c r="B381" t="s">
        <v>17</v>
      </c>
      <c r="C381" t="s">
        <v>25</v>
      </c>
      <c r="D381" t="s">
        <v>39</v>
      </c>
      <c r="E381">
        <v>76824306.66</v>
      </c>
      <c r="F381">
        <v>0.47292</v>
      </c>
      <c r="G381">
        <v>-13.27065</v>
      </c>
      <c r="H381">
        <v>3.22843</v>
      </c>
      <c r="I381">
        <v>0.72142</v>
      </c>
      <c r="J381">
        <v>0</v>
      </c>
    </row>
    <row r="382" spans="1:10">
      <c r="A382">
        <v>381</v>
      </c>
      <c r="B382" t="s">
        <v>17</v>
      </c>
      <c r="C382" t="s">
        <v>25</v>
      </c>
      <c r="D382" t="s">
        <v>26</v>
      </c>
      <c r="E382">
        <v>150747409.33</v>
      </c>
      <c r="F382">
        <v>2.15</v>
      </c>
      <c r="G382">
        <v>29.54</v>
      </c>
      <c r="H382">
        <v>-2.90677</v>
      </c>
      <c r="I382">
        <v>0.51886</v>
      </c>
      <c r="J382">
        <v>0</v>
      </c>
    </row>
    <row r="383" spans="1:10">
      <c r="A383">
        <v>382</v>
      </c>
      <c r="B383" t="s">
        <v>17</v>
      </c>
      <c r="C383" t="s">
        <v>25</v>
      </c>
      <c r="D383" t="s">
        <v>26</v>
      </c>
      <c r="E383">
        <v>268320613.96</v>
      </c>
      <c r="F383">
        <v>-30.8688</v>
      </c>
      <c r="G383">
        <v>-12.60262</v>
      </c>
      <c r="H383">
        <v>-3.94603</v>
      </c>
      <c r="I383">
        <v>0.14351</v>
      </c>
      <c r="J383">
        <v>0</v>
      </c>
    </row>
    <row r="384" spans="1:10">
      <c r="A384">
        <v>383</v>
      </c>
      <c r="B384" t="s">
        <v>17</v>
      </c>
      <c r="C384" t="s">
        <v>25</v>
      </c>
      <c r="D384" t="s">
        <v>38</v>
      </c>
      <c r="E384">
        <v>264336846.91</v>
      </c>
      <c r="F384">
        <v>20.65854</v>
      </c>
      <c r="G384">
        <v>-11.87981</v>
      </c>
      <c r="H384">
        <v>2.59053</v>
      </c>
      <c r="I384">
        <v>1.4407</v>
      </c>
      <c r="J384">
        <v>0</v>
      </c>
    </row>
    <row r="385" spans="1:10">
      <c r="A385">
        <v>384</v>
      </c>
      <c r="B385" t="s">
        <v>17</v>
      </c>
      <c r="C385" t="s">
        <v>25</v>
      </c>
      <c r="D385" t="s">
        <v>33</v>
      </c>
      <c r="E385">
        <v>102200000</v>
      </c>
      <c r="F385">
        <v>99999999</v>
      </c>
      <c r="G385">
        <v>99999999</v>
      </c>
      <c r="H385">
        <v>1.36248</v>
      </c>
      <c r="I385">
        <v>-0.00118</v>
      </c>
      <c r="J385">
        <v>0</v>
      </c>
    </row>
    <row r="386" spans="1:10">
      <c r="A386">
        <v>385</v>
      </c>
      <c r="B386" t="s">
        <v>17</v>
      </c>
      <c r="C386" t="s">
        <v>18</v>
      </c>
      <c r="D386" t="s">
        <v>19</v>
      </c>
      <c r="E386">
        <v>85556217.04</v>
      </c>
      <c r="F386">
        <v>-29.38862</v>
      </c>
      <c r="H386">
        <v>2.56772</v>
      </c>
      <c r="I386">
        <v>0.40503</v>
      </c>
      <c r="J386">
        <v>0</v>
      </c>
    </row>
    <row r="387" spans="1:10">
      <c r="A387">
        <v>386</v>
      </c>
      <c r="B387" t="s">
        <v>17</v>
      </c>
      <c r="C387" t="s">
        <v>18</v>
      </c>
      <c r="D387" t="s">
        <v>19</v>
      </c>
      <c r="E387">
        <v>128181116.9</v>
      </c>
      <c r="F387">
        <v>-194.29</v>
      </c>
      <c r="G387">
        <v>99999999</v>
      </c>
      <c r="H387">
        <v>99999998</v>
      </c>
      <c r="I387">
        <v>-0.21251</v>
      </c>
      <c r="J387">
        <v>0</v>
      </c>
    </row>
    <row r="388" spans="1:10">
      <c r="A388">
        <v>387</v>
      </c>
      <c r="B388" t="s">
        <v>17</v>
      </c>
      <c r="C388" t="s">
        <v>18</v>
      </c>
      <c r="D388" t="s">
        <v>32</v>
      </c>
      <c r="E388">
        <v>6768848.17</v>
      </c>
      <c r="F388">
        <v>-83.10191</v>
      </c>
      <c r="H388">
        <v>2.42254</v>
      </c>
      <c r="I388">
        <v>-1.68521</v>
      </c>
      <c r="J388">
        <v>0</v>
      </c>
    </row>
    <row r="389" spans="1:10">
      <c r="A389">
        <v>388</v>
      </c>
      <c r="B389" t="s">
        <v>17</v>
      </c>
      <c r="C389" t="s">
        <v>25</v>
      </c>
      <c r="D389" t="s">
        <v>30</v>
      </c>
      <c r="E389">
        <v>102684469.9</v>
      </c>
      <c r="F389">
        <v>-32.9342</v>
      </c>
      <c r="G389">
        <v>10.5898</v>
      </c>
      <c r="H389">
        <v>99999999</v>
      </c>
      <c r="I389">
        <v>-0.04597</v>
      </c>
      <c r="J389">
        <v>0</v>
      </c>
    </row>
    <row r="390" spans="1:10">
      <c r="A390">
        <v>389</v>
      </c>
      <c r="B390" t="s">
        <v>17</v>
      </c>
      <c r="C390" t="s">
        <v>18</v>
      </c>
      <c r="D390" t="s">
        <v>19</v>
      </c>
      <c r="E390">
        <v>21036344.94</v>
      </c>
      <c r="F390">
        <v>16.32522</v>
      </c>
      <c r="G390">
        <v>-13.55998</v>
      </c>
      <c r="H390">
        <v>99999999</v>
      </c>
      <c r="I390">
        <v>4.68453</v>
      </c>
      <c r="J390">
        <v>0</v>
      </c>
    </row>
    <row r="391" spans="1:10">
      <c r="A391">
        <v>390</v>
      </c>
      <c r="B391" t="s">
        <v>17</v>
      </c>
      <c r="C391" t="s">
        <v>23</v>
      </c>
      <c r="D391" t="s">
        <v>29</v>
      </c>
      <c r="E391">
        <v>10574237.25</v>
      </c>
      <c r="F391">
        <v>-169.54812</v>
      </c>
      <c r="G391">
        <v>-1.32626</v>
      </c>
      <c r="H391">
        <v>99999998</v>
      </c>
      <c r="I391">
        <v>0.12637</v>
      </c>
      <c r="J391">
        <v>0</v>
      </c>
    </row>
    <row r="392" spans="1:10">
      <c r="A392">
        <v>391</v>
      </c>
      <c r="B392" t="s">
        <v>22</v>
      </c>
      <c r="C392" t="s">
        <v>21</v>
      </c>
      <c r="D392" t="s">
        <v>29</v>
      </c>
      <c r="E392">
        <v>38655061.9</v>
      </c>
      <c r="F392">
        <v>-403.7</v>
      </c>
      <c r="G392">
        <v>-1.11</v>
      </c>
      <c r="H392">
        <v>99999998</v>
      </c>
      <c r="I392">
        <v>-0.67942</v>
      </c>
      <c r="J392">
        <v>0</v>
      </c>
    </row>
    <row r="393" spans="1:10">
      <c r="A393">
        <v>392</v>
      </c>
      <c r="B393" t="s">
        <v>20</v>
      </c>
      <c r="C393" t="s">
        <v>21</v>
      </c>
      <c r="D393" t="s">
        <v>19</v>
      </c>
      <c r="E393">
        <v>93071411.92</v>
      </c>
      <c r="F393">
        <v>11.68</v>
      </c>
      <c r="G393">
        <v>5.68</v>
      </c>
      <c r="H393">
        <v>10.71536</v>
      </c>
      <c r="I393">
        <v>1.12803</v>
      </c>
      <c r="J393">
        <v>0</v>
      </c>
    </row>
    <row r="394" spans="1:10">
      <c r="A394">
        <v>393</v>
      </c>
      <c r="B394" t="s">
        <v>22</v>
      </c>
      <c r="C394" t="s">
        <v>21</v>
      </c>
      <c r="D394" t="s">
        <v>24</v>
      </c>
      <c r="E394">
        <v>41613426.44</v>
      </c>
      <c r="F394">
        <v>-353.88062</v>
      </c>
      <c r="G394">
        <v>-50.50605</v>
      </c>
      <c r="H394">
        <v>99999998</v>
      </c>
      <c r="I394">
        <v>0.24583</v>
      </c>
      <c r="J394">
        <v>0</v>
      </c>
    </row>
    <row r="395" spans="1:10">
      <c r="A395">
        <v>394</v>
      </c>
      <c r="B395" t="s">
        <v>17</v>
      </c>
      <c r="C395" t="s">
        <v>18</v>
      </c>
      <c r="D395" t="s">
        <v>19</v>
      </c>
      <c r="E395">
        <v>157379852.01</v>
      </c>
      <c r="F395">
        <v>9.67455</v>
      </c>
      <c r="G395">
        <v>-0.96674</v>
      </c>
      <c r="H395">
        <v>-5.5522</v>
      </c>
      <c r="I395">
        <v>0.51168</v>
      </c>
      <c r="J395">
        <v>0</v>
      </c>
    </row>
    <row r="396" spans="1:10">
      <c r="A396">
        <v>395</v>
      </c>
      <c r="B396" t="s">
        <v>17</v>
      </c>
      <c r="C396" t="s">
        <v>18</v>
      </c>
      <c r="D396" t="s">
        <v>19</v>
      </c>
      <c r="E396">
        <v>239833717.85</v>
      </c>
      <c r="F396">
        <v>-8.24</v>
      </c>
      <c r="G396">
        <v>-10.11</v>
      </c>
      <c r="H396">
        <v>-2.81719</v>
      </c>
      <c r="I396">
        <v>0.25184</v>
      </c>
      <c r="J396">
        <v>0</v>
      </c>
    </row>
    <row r="397" spans="1:10">
      <c r="A397">
        <v>396</v>
      </c>
      <c r="B397" t="s">
        <v>17</v>
      </c>
      <c r="C397" t="s">
        <v>18</v>
      </c>
      <c r="D397" t="s">
        <v>39</v>
      </c>
      <c r="E397">
        <v>83562762.13</v>
      </c>
      <c r="F397">
        <v>1.97033</v>
      </c>
      <c r="G397">
        <v>-9.38513</v>
      </c>
      <c r="H397">
        <v>3.88805</v>
      </c>
      <c r="I397">
        <v>0.82644</v>
      </c>
      <c r="J397">
        <v>0</v>
      </c>
    </row>
    <row r="398" spans="1:10">
      <c r="A398">
        <v>397</v>
      </c>
      <c r="B398" t="s">
        <v>17</v>
      </c>
      <c r="C398" t="s">
        <v>21</v>
      </c>
      <c r="D398" t="s">
        <v>26</v>
      </c>
      <c r="E398">
        <v>23606275.12</v>
      </c>
      <c r="F398">
        <v>6.27944</v>
      </c>
      <c r="G398">
        <v>24.89603</v>
      </c>
      <c r="H398">
        <v>3.00793</v>
      </c>
      <c r="I398">
        <v>6.86934</v>
      </c>
      <c r="J398">
        <v>0</v>
      </c>
    </row>
    <row r="399" spans="1:10">
      <c r="A399">
        <v>398</v>
      </c>
      <c r="B399" t="s">
        <v>17</v>
      </c>
      <c r="C399" t="s">
        <v>21</v>
      </c>
      <c r="D399" t="s">
        <v>19</v>
      </c>
      <c r="E399">
        <v>10759776.42</v>
      </c>
      <c r="F399">
        <v>-164.35048</v>
      </c>
      <c r="G399">
        <v>-5.27638</v>
      </c>
      <c r="H399">
        <v>99999998</v>
      </c>
      <c r="I399">
        <v>0.13095</v>
      </c>
      <c r="J399">
        <v>0</v>
      </c>
    </row>
    <row r="400" spans="1:10">
      <c r="A400">
        <v>399</v>
      </c>
      <c r="B400" t="s">
        <v>17</v>
      </c>
      <c r="C400" t="s">
        <v>18</v>
      </c>
      <c r="D400" t="s">
        <v>26</v>
      </c>
      <c r="E400">
        <v>106021001.01</v>
      </c>
      <c r="F400">
        <v>-67.82511</v>
      </c>
      <c r="G400">
        <v>-18.95533</v>
      </c>
      <c r="H400">
        <v>99999998</v>
      </c>
      <c r="I400">
        <v>-0.80245</v>
      </c>
      <c r="J400">
        <v>0</v>
      </c>
    </row>
    <row r="401" spans="1:10">
      <c r="A401">
        <v>400</v>
      </c>
      <c r="B401" t="s">
        <v>17</v>
      </c>
      <c r="C401" t="s">
        <v>18</v>
      </c>
      <c r="D401" t="s">
        <v>19</v>
      </c>
      <c r="E401">
        <v>22271761.22</v>
      </c>
      <c r="F401">
        <v>17.71</v>
      </c>
      <c r="G401">
        <v>46.32</v>
      </c>
      <c r="H401">
        <v>0.21981</v>
      </c>
      <c r="I401">
        <v>4.38202</v>
      </c>
      <c r="J401">
        <v>0</v>
      </c>
    </row>
    <row r="402" spans="1:10">
      <c r="A402">
        <v>401</v>
      </c>
      <c r="B402" t="s">
        <v>17</v>
      </c>
      <c r="C402" t="s">
        <v>18</v>
      </c>
      <c r="D402" t="s">
        <v>39</v>
      </c>
      <c r="E402">
        <v>40644764.82</v>
      </c>
      <c r="F402">
        <v>-31.65</v>
      </c>
      <c r="G402">
        <v>47.14</v>
      </c>
      <c r="H402">
        <v>99999998</v>
      </c>
      <c r="I402">
        <v>0.47401</v>
      </c>
      <c r="J402">
        <v>0</v>
      </c>
    </row>
    <row r="403" spans="1:10">
      <c r="A403">
        <v>402</v>
      </c>
      <c r="B403" t="s">
        <v>20</v>
      </c>
      <c r="C403" t="s">
        <v>21</v>
      </c>
      <c r="D403" t="s">
        <v>38</v>
      </c>
      <c r="E403">
        <v>96917698.29</v>
      </c>
      <c r="F403">
        <v>5.2055</v>
      </c>
      <c r="G403">
        <v>5.6974</v>
      </c>
      <c r="I403">
        <v>0.74731</v>
      </c>
      <c r="J403">
        <v>0</v>
      </c>
    </row>
    <row r="404" spans="1:10">
      <c r="A404">
        <v>403</v>
      </c>
      <c r="B404" t="s">
        <v>17</v>
      </c>
      <c r="C404" t="s">
        <v>23</v>
      </c>
      <c r="D404" t="s">
        <v>26</v>
      </c>
      <c r="E404">
        <v>130251649.1</v>
      </c>
      <c r="F404">
        <v>-40.7</v>
      </c>
      <c r="G404">
        <v>46.01</v>
      </c>
      <c r="I404">
        <v>-0.07252</v>
      </c>
      <c r="J404">
        <v>1</v>
      </c>
    </row>
    <row r="405" spans="1:10">
      <c r="A405">
        <v>404</v>
      </c>
      <c r="B405" t="s">
        <v>17</v>
      </c>
      <c r="C405" t="s">
        <v>18</v>
      </c>
      <c r="D405" t="s">
        <v>30</v>
      </c>
      <c r="E405">
        <v>89232821.69</v>
      </c>
      <c r="F405">
        <v>-52.02</v>
      </c>
      <c r="G405">
        <v>-18.17</v>
      </c>
      <c r="H405">
        <v>2.45407</v>
      </c>
      <c r="I405">
        <v>-0.02004</v>
      </c>
      <c r="J405">
        <v>1</v>
      </c>
    </row>
    <row r="406" spans="1:10">
      <c r="A406">
        <v>405</v>
      </c>
      <c r="B406" t="s">
        <v>17</v>
      </c>
      <c r="C406" t="s">
        <v>25</v>
      </c>
      <c r="D406" t="s">
        <v>33</v>
      </c>
      <c r="E406">
        <v>102200000</v>
      </c>
      <c r="F406">
        <v>99999999</v>
      </c>
      <c r="G406">
        <v>99999999</v>
      </c>
      <c r="I406">
        <v>-0.19499</v>
      </c>
      <c r="J406">
        <v>0</v>
      </c>
    </row>
    <row r="407" spans="1:10">
      <c r="A407">
        <v>406</v>
      </c>
      <c r="B407" t="s">
        <v>17</v>
      </c>
      <c r="C407" t="s">
        <v>25</v>
      </c>
      <c r="D407" t="s">
        <v>32</v>
      </c>
      <c r="E407">
        <v>299648821.44</v>
      </c>
      <c r="F407">
        <v>34.39717</v>
      </c>
      <c r="G407">
        <v>-15.71885</v>
      </c>
      <c r="H407">
        <v>99999998</v>
      </c>
      <c r="I407">
        <v>1.5941</v>
      </c>
      <c r="J407">
        <v>0</v>
      </c>
    </row>
    <row r="408" spans="1:10">
      <c r="A408">
        <v>407</v>
      </c>
      <c r="B408" t="s">
        <v>17</v>
      </c>
      <c r="C408" t="s">
        <v>18</v>
      </c>
      <c r="D408" t="s">
        <v>19</v>
      </c>
      <c r="E408">
        <v>163834678.71</v>
      </c>
      <c r="F408">
        <v>-8.61645</v>
      </c>
      <c r="G408">
        <v>33.08073</v>
      </c>
      <c r="H408">
        <v>-4.03088</v>
      </c>
      <c r="I408">
        <v>1.84898</v>
      </c>
      <c r="J408">
        <v>0</v>
      </c>
    </row>
    <row r="409" spans="1:10">
      <c r="A409">
        <v>408</v>
      </c>
      <c r="B409" t="s">
        <v>17</v>
      </c>
      <c r="C409" t="s">
        <v>18</v>
      </c>
      <c r="D409" t="s">
        <v>19</v>
      </c>
      <c r="E409">
        <v>217108387.85</v>
      </c>
      <c r="F409">
        <v>-8.66495</v>
      </c>
      <c r="G409">
        <v>18.73683</v>
      </c>
      <c r="H409">
        <v>-2.80777</v>
      </c>
      <c r="I409">
        <v>0.98109</v>
      </c>
      <c r="J409">
        <v>0</v>
      </c>
    </row>
    <row r="410" spans="1:10">
      <c r="A410">
        <v>409</v>
      </c>
      <c r="B410" t="s">
        <v>17</v>
      </c>
      <c r="C410" t="s">
        <v>18</v>
      </c>
      <c r="D410" t="s">
        <v>19</v>
      </c>
      <c r="E410">
        <v>164439112.52</v>
      </c>
      <c r="F410">
        <v>-6.60933</v>
      </c>
      <c r="G410">
        <v>0.40604</v>
      </c>
      <c r="H410">
        <v>-4.74175</v>
      </c>
      <c r="I410">
        <v>0.51681</v>
      </c>
      <c r="J410">
        <v>0</v>
      </c>
    </row>
    <row r="411" spans="1:10">
      <c r="A411">
        <v>410</v>
      </c>
      <c r="B411" t="s">
        <v>17</v>
      </c>
      <c r="C411" t="s">
        <v>18</v>
      </c>
      <c r="D411" t="s">
        <v>39</v>
      </c>
      <c r="E411">
        <v>90524684.4</v>
      </c>
      <c r="F411">
        <v>12.58801</v>
      </c>
      <c r="G411">
        <v>18.92225</v>
      </c>
      <c r="H411">
        <v>-10.08634</v>
      </c>
      <c r="I411">
        <v>1.4679</v>
      </c>
      <c r="J411">
        <v>0</v>
      </c>
    </row>
    <row r="412" spans="1:10">
      <c r="A412">
        <v>411</v>
      </c>
      <c r="B412" t="s">
        <v>17</v>
      </c>
      <c r="C412" t="s">
        <v>18</v>
      </c>
      <c r="D412" t="s">
        <v>30</v>
      </c>
      <c r="E412">
        <v>41589381.53</v>
      </c>
      <c r="F412">
        <v>-121.18858</v>
      </c>
      <c r="G412">
        <v>-8.76976</v>
      </c>
      <c r="H412">
        <v>0.85702</v>
      </c>
      <c r="I412">
        <v>-0.00146</v>
      </c>
      <c r="J412">
        <v>0</v>
      </c>
    </row>
    <row r="413" spans="1:10">
      <c r="A413">
        <v>412</v>
      </c>
      <c r="B413" t="s">
        <v>17</v>
      </c>
      <c r="C413" t="s">
        <v>21</v>
      </c>
      <c r="D413" t="s">
        <v>33</v>
      </c>
      <c r="E413">
        <v>102200000</v>
      </c>
      <c r="F413">
        <v>99999999</v>
      </c>
      <c r="G413">
        <v>99999999</v>
      </c>
      <c r="I413">
        <v>-0.19499</v>
      </c>
      <c r="J413">
        <v>0</v>
      </c>
    </row>
    <row r="414" spans="1:10">
      <c r="A414">
        <v>413</v>
      </c>
      <c r="B414" t="s">
        <v>17</v>
      </c>
      <c r="C414" t="s">
        <v>21</v>
      </c>
      <c r="D414" t="s">
        <v>38</v>
      </c>
      <c r="E414">
        <v>337655008.49</v>
      </c>
      <c r="F414">
        <v>-20.17427</v>
      </c>
      <c r="G414">
        <v>29.02756</v>
      </c>
      <c r="I414">
        <v>0.28893</v>
      </c>
      <c r="J414">
        <v>0</v>
      </c>
    </row>
    <row r="415" spans="1:10">
      <c r="A415">
        <v>414</v>
      </c>
      <c r="B415" t="s">
        <v>17</v>
      </c>
      <c r="C415" t="s">
        <v>23</v>
      </c>
      <c r="D415" t="s">
        <v>26</v>
      </c>
      <c r="E415">
        <v>28484594.78</v>
      </c>
      <c r="F415">
        <v>3.33</v>
      </c>
      <c r="G415">
        <v>2.25</v>
      </c>
      <c r="H415">
        <v>0.15917</v>
      </c>
      <c r="I415">
        <v>6.51506</v>
      </c>
      <c r="J415">
        <v>0</v>
      </c>
    </row>
    <row r="416" spans="1:10">
      <c r="A416">
        <v>415</v>
      </c>
      <c r="B416" t="s">
        <v>17</v>
      </c>
      <c r="C416" t="s">
        <v>18</v>
      </c>
      <c r="D416" t="s">
        <v>19</v>
      </c>
      <c r="E416">
        <v>28001765.97</v>
      </c>
      <c r="F416">
        <v>99999999</v>
      </c>
      <c r="G416">
        <v>99999999</v>
      </c>
      <c r="H416">
        <v>11.65211</v>
      </c>
      <c r="I416">
        <v>-1.63248</v>
      </c>
      <c r="J416">
        <v>1</v>
      </c>
    </row>
    <row r="417" spans="1:10">
      <c r="A417">
        <v>416</v>
      </c>
      <c r="B417" t="s">
        <v>17</v>
      </c>
      <c r="C417" t="s">
        <v>18</v>
      </c>
      <c r="D417" t="s">
        <v>19</v>
      </c>
      <c r="E417">
        <v>86825373.25</v>
      </c>
      <c r="F417">
        <v>-22.04647</v>
      </c>
      <c r="G417">
        <v>18.17</v>
      </c>
      <c r="H417">
        <v>2.15645</v>
      </c>
      <c r="I417">
        <v>0.2478</v>
      </c>
      <c r="J417">
        <v>1</v>
      </c>
    </row>
    <row r="418" spans="1:10">
      <c r="A418">
        <v>417</v>
      </c>
      <c r="B418" t="s">
        <v>20</v>
      </c>
      <c r="C418" t="s">
        <v>21</v>
      </c>
      <c r="D418" t="s">
        <v>32</v>
      </c>
      <c r="E418">
        <v>101179389.03</v>
      </c>
      <c r="F418">
        <v>-29.76</v>
      </c>
      <c r="G418">
        <v>5.16</v>
      </c>
      <c r="H418">
        <v>99999998</v>
      </c>
      <c r="I418">
        <v>0.40094</v>
      </c>
      <c r="J418">
        <v>0</v>
      </c>
    </row>
    <row r="419" spans="1:10">
      <c r="A419">
        <v>418</v>
      </c>
      <c r="B419" t="s">
        <v>17</v>
      </c>
      <c r="C419" t="s">
        <v>18</v>
      </c>
      <c r="D419" t="s">
        <v>19</v>
      </c>
      <c r="E419">
        <v>59744375.97</v>
      </c>
      <c r="F419">
        <v>10.72936</v>
      </c>
      <c r="G419">
        <v>163.32652</v>
      </c>
      <c r="H419">
        <v>-5.41669</v>
      </c>
      <c r="I419">
        <v>4.59796</v>
      </c>
      <c r="J419">
        <v>0</v>
      </c>
    </row>
    <row r="420" spans="1:10">
      <c r="A420">
        <v>419</v>
      </c>
      <c r="B420" t="s">
        <v>17</v>
      </c>
      <c r="C420" t="s">
        <v>23</v>
      </c>
      <c r="D420" t="s">
        <v>38</v>
      </c>
      <c r="E420">
        <v>337655008.49</v>
      </c>
      <c r="F420">
        <v>-20.17427</v>
      </c>
      <c r="G420">
        <v>29.02756</v>
      </c>
      <c r="H420">
        <v>99999998</v>
      </c>
      <c r="I420">
        <v>0.28893</v>
      </c>
      <c r="J420">
        <v>0</v>
      </c>
    </row>
    <row r="421" spans="1:10">
      <c r="A421">
        <v>420</v>
      </c>
      <c r="B421" t="s">
        <v>36</v>
      </c>
      <c r="C421" t="e">
        <v>#N/A</v>
      </c>
      <c r="D421" t="s">
        <v>19</v>
      </c>
      <c r="E421">
        <v>267563316.34</v>
      </c>
      <c r="F421">
        <v>0.70128</v>
      </c>
      <c r="G421">
        <v>41.3589</v>
      </c>
      <c r="I421">
        <v>1.09508</v>
      </c>
      <c r="J421">
        <v>0</v>
      </c>
    </row>
    <row r="422" spans="1:10">
      <c r="A422">
        <v>421</v>
      </c>
      <c r="B422" t="s">
        <v>36</v>
      </c>
      <c r="C422" t="e">
        <v>#N/A</v>
      </c>
      <c r="D422" t="s">
        <v>39</v>
      </c>
      <c r="E422">
        <v>111017508.39</v>
      </c>
      <c r="F422">
        <v>-84.34644</v>
      </c>
      <c r="G422">
        <v>2.00228</v>
      </c>
      <c r="I422">
        <v>-0.97499</v>
      </c>
      <c r="J422">
        <v>0</v>
      </c>
    </row>
    <row r="423" spans="1:10">
      <c r="A423">
        <v>422</v>
      </c>
      <c r="B423" t="s">
        <v>36</v>
      </c>
      <c r="C423" t="e">
        <v>#N/A</v>
      </c>
      <c r="D423" t="s">
        <v>26</v>
      </c>
      <c r="E423">
        <v>24742593.78</v>
      </c>
      <c r="F423">
        <v>9.04284</v>
      </c>
      <c r="G423">
        <v>8.45289</v>
      </c>
      <c r="I423">
        <v>3.53687</v>
      </c>
      <c r="J423">
        <v>0</v>
      </c>
    </row>
    <row r="424" spans="1:10">
      <c r="A424">
        <v>423</v>
      </c>
      <c r="B424" t="s">
        <v>36</v>
      </c>
      <c r="C424" t="e">
        <v>#N/A</v>
      </c>
      <c r="D424" t="s">
        <v>19</v>
      </c>
      <c r="E424">
        <v>41589381.53</v>
      </c>
      <c r="F424">
        <v>-121.18858</v>
      </c>
      <c r="G424">
        <v>-8.76976</v>
      </c>
      <c r="I424">
        <v>-0.00147</v>
      </c>
      <c r="J424">
        <v>0</v>
      </c>
    </row>
    <row r="425" spans="1:10">
      <c r="A425">
        <v>424</v>
      </c>
      <c r="B425" t="s">
        <v>36</v>
      </c>
      <c r="C425" t="e">
        <v>#N/A</v>
      </c>
      <c r="D425" t="s">
        <v>19</v>
      </c>
      <c r="E425">
        <v>119285998.22</v>
      </c>
      <c r="F425">
        <v>32.42576</v>
      </c>
      <c r="G425">
        <v>3.65269</v>
      </c>
      <c r="I425">
        <v>21.52986</v>
      </c>
      <c r="J425">
        <v>0</v>
      </c>
    </row>
    <row r="426" spans="1:10">
      <c r="A426">
        <v>425</v>
      </c>
      <c r="B426" t="s">
        <v>36</v>
      </c>
      <c r="C426" t="e">
        <v>#N/A</v>
      </c>
      <c r="D426" t="s">
        <v>19</v>
      </c>
      <c r="E426">
        <v>444884322.58</v>
      </c>
      <c r="F426">
        <v>36.5184</v>
      </c>
      <c r="G426">
        <v>4.1825</v>
      </c>
      <c r="I426">
        <v>6.77698</v>
      </c>
      <c r="J426">
        <v>0</v>
      </c>
    </row>
    <row r="427" spans="1:10">
      <c r="A427">
        <v>426</v>
      </c>
      <c r="B427" t="s">
        <v>37</v>
      </c>
      <c r="C427" t="e">
        <v>#N/A</v>
      </c>
      <c r="D427" t="s">
        <v>32</v>
      </c>
      <c r="E427">
        <v>106078662.39</v>
      </c>
      <c r="F427">
        <v>-20.48203</v>
      </c>
      <c r="G427">
        <v>-10.83726</v>
      </c>
      <c r="I427">
        <v>0.42576</v>
      </c>
      <c r="J427">
        <v>0</v>
      </c>
    </row>
    <row r="428" spans="1:10">
      <c r="A428">
        <v>427</v>
      </c>
      <c r="B428" t="s">
        <v>36</v>
      </c>
      <c r="C428" t="e">
        <v>#N/A</v>
      </c>
      <c r="D428" t="s">
        <v>26</v>
      </c>
      <c r="E428">
        <v>103839839.06</v>
      </c>
      <c r="F428">
        <v>-7.71</v>
      </c>
      <c r="G428">
        <v>-18.13</v>
      </c>
      <c r="I428">
        <v>0.6004</v>
      </c>
      <c r="J428">
        <v>0</v>
      </c>
    </row>
    <row r="429" spans="1:10">
      <c r="A429">
        <v>428</v>
      </c>
      <c r="B429" t="s">
        <v>36</v>
      </c>
      <c r="C429" t="e">
        <v>#N/A</v>
      </c>
      <c r="D429" t="s">
        <v>19</v>
      </c>
      <c r="E429">
        <v>179181070.91</v>
      </c>
      <c r="F429">
        <v>-5.34</v>
      </c>
      <c r="G429">
        <v>-13.05</v>
      </c>
      <c r="I429">
        <v>0.53874</v>
      </c>
      <c r="J429">
        <v>0</v>
      </c>
    </row>
    <row r="430" spans="1:10">
      <c r="A430">
        <v>429</v>
      </c>
      <c r="B430" t="s">
        <v>36</v>
      </c>
      <c r="C430" t="e">
        <v>#N/A</v>
      </c>
      <c r="D430" t="s">
        <v>19</v>
      </c>
      <c r="E430">
        <v>349878750</v>
      </c>
      <c r="F430">
        <v>99999999</v>
      </c>
      <c r="G430">
        <v>99999999</v>
      </c>
      <c r="I430">
        <v>-0.00279</v>
      </c>
      <c r="J430">
        <v>0</v>
      </c>
    </row>
    <row r="431" spans="1:10">
      <c r="A431">
        <v>430</v>
      </c>
      <c r="B431" t="s">
        <v>36</v>
      </c>
      <c r="C431" t="e">
        <v>#N/A</v>
      </c>
      <c r="D431" t="s">
        <v>19</v>
      </c>
      <c r="E431">
        <v>27026424.8</v>
      </c>
      <c r="F431">
        <v>-0.23033</v>
      </c>
      <c r="G431">
        <v>139.2189</v>
      </c>
      <c r="I431">
        <v>0.59604</v>
      </c>
      <c r="J431">
        <v>0</v>
      </c>
    </row>
    <row r="432" spans="1:10">
      <c r="A432">
        <v>431</v>
      </c>
      <c r="B432" t="s">
        <v>36</v>
      </c>
      <c r="C432" t="e">
        <v>#N/A</v>
      </c>
      <c r="D432" t="s">
        <v>33</v>
      </c>
      <c r="E432">
        <v>82366285.92</v>
      </c>
      <c r="F432">
        <v>-92.36</v>
      </c>
      <c r="G432">
        <v>-12.5</v>
      </c>
      <c r="I432">
        <v>0.07871</v>
      </c>
      <c r="J432">
        <v>0</v>
      </c>
    </row>
    <row r="433" spans="1:10">
      <c r="A433">
        <v>432</v>
      </c>
      <c r="B433" t="s">
        <v>36</v>
      </c>
      <c r="C433" t="e">
        <v>#N/A</v>
      </c>
      <c r="D433" t="s">
        <v>19</v>
      </c>
      <c r="E433">
        <v>240587619.59</v>
      </c>
      <c r="F433">
        <v>-5.75481</v>
      </c>
      <c r="G433">
        <v>-0.5427</v>
      </c>
      <c r="I433">
        <v>0.94828</v>
      </c>
      <c r="J433">
        <v>0</v>
      </c>
    </row>
    <row r="434" spans="1:10">
      <c r="A434">
        <v>433</v>
      </c>
      <c r="B434" t="s">
        <v>36</v>
      </c>
      <c r="C434" t="e">
        <v>#N/A</v>
      </c>
      <c r="D434" t="s">
        <v>24</v>
      </c>
      <c r="E434">
        <v>39860451.19</v>
      </c>
      <c r="F434">
        <v>99999999</v>
      </c>
      <c r="G434">
        <v>-100</v>
      </c>
      <c r="J434">
        <v>1</v>
      </c>
    </row>
    <row r="435" spans="1:10">
      <c r="A435">
        <v>434</v>
      </c>
      <c r="B435" t="s">
        <v>36</v>
      </c>
      <c r="C435" t="e">
        <v>#N/A</v>
      </c>
      <c r="D435" t="s">
        <v>19</v>
      </c>
      <c r="E435">
        <v>102200000</v>
      </c>
      <c r="F435">
        <v>99999999</v>
      </c>
      <c r="G435">
        <v>99999999</v>
      </c>
      <c r="I435">
        <v>-0.02133</v>
      </c>
      <c r="J435">
        <v>0</v>
      </c>
    </row>
    <row r="436" spans="1:10">
      <c r="A436">
        <v>435</v>
      </c>
      <c r="B436" t="s">
        <v>36</v>
      </c>
      <c r="C436" t="e">
        <v>#N/A</v>
      </c>
      <c r="D436" t="s">
        <v>19</v>
      </c>
      <c r="E436">
        <v>171186208.21</v>
      </c>
      <c r="F436">
        <v>-16.97583</v>
      </c>
      <c r="G436">
        <v>183.84745</v>
      </c>
      <c r="I436">
        <v>0.32793</v>
      </c>
      <c r="J436">
        <v>0</v>
      </c>
    </row>
    <row r="437" spans="1:10">
      <c r="A437">
        <v>436</v>
      </c>
      <c r="B437" t="s">
        <v>36</v>
      </c>
      <c r="C437" t="e">
        <v>#N/A</v>
      </c>
      <c r="D437" t="s">
        <v>30</v>
      </c>
      <c r="E437">
        <v>189210999.4</v>
      </c>
      <c r="F437">
        <v>5.10485</v>
      </c>
      <c r="G437">
        <v>-16.08465</v>
      </c>
      <c r="I437">
        <v>0.54456</v>
      </c>
      <c r="J437">
        <v>0</v>
      </c>
    </row>
    <row r="438" spans="1:10">
      <c r="A438">
        <v>437</v>
      </c>
      <c r="B438" t="s">
        <v>36</v>
      </c>
      <c r="C438" t="e">
        <v>#N/A</v>
      </c>
      <c r="D438" t="s">
        <v>39</v>
      </c>
      <c r="E438">
        <v>110991352.51</v>
      </c>
      <c r="F438">
        <v>10.17869</v>
      </c>
      <c r="G438">
        <v>-3.77523</v>
      </c>
      <c r="I438">
        <v>0.42365</v>
      </c>
      <c r="J438">
        <v>0</v>
      </c>
    </row>
    <row r="439" spans="1:10">
      <c r="A439">
        <v>438</v>
      </c>
      <c r="B439" t="s">
        <v>36</v>
      </c>
      <c r="C439" t="e">
        <v>#N/A</v>
      </c>
      <c r="D439" t="s">
        <v>30</v>
      </c>
      <c r="E439">
        <v>254852448.99</v>
      </c>
      <c r="F439">
        <v>2.06867</v>
      </c>
      <c r="G439">
        <v>-15.86945</v>
      </c>
      <c r="I439">
        <v>0.62567</v>
      </c>
      <c r="J439">
        <v>0</v>
      </c>
    </row>
    <row r="440" spans="1:10">
      <c r="A440">
        <v>439</v>
      </c>
      <c r="B440" t="s">
        <v>36</v>
      </c>
      <c r="C440" t="e">
        <v>#N/A</v>
      </c>
      <c r="D440" t="s">
        <v>19</v>
      </c>
      <c r="E440">
        <v>297835515.69</v>
      </c>
      <c r="F440">
        <v>-52.2952</v>
      </c>
      <c r="G440">
        <v>118.66767</v>
      </c>
      <c r="I440">
        <v>0.06627</v>
      </c>
      <c r="J440">
        <v>0</v>
      </c>
    </row>
    <row r="441" spans="1:10">
      <c r="A441">
        <v>440</v>
      </c>
      <c r="B441" t="s">
        <v>36</v>
      </c>
      <c r="C441" t="e">
        <v>#N/A</v>
      </c>
      <c r="D441" t="s">
        <v>34</v>
      </c>
      <c r="J441">
        <v>0</v>
      </c>
    </row>
    <row r="442" spans="1:10">
      <c r="A442">
        <v>441</v>
      </c>
      <c r="B442" t="s">
        <v>36</v>
      </c>
      <c r="C442" t="e">
        <v>#N/A</v>
      </c>
      <c r="D442" t="s">
        <v>19</v>
      </c>
      <c r="E442">
        <v>54055706.12</v>
      </c>
      <c r="F442">
        <v>-2081.34709</v>
      </c>
      <c r="G442">
        <v>-90.36437</v>
      </c>
      <c r="I442">
        <v>0.13843</v>
      </c>
      <c r="J442">
        <v>0</v>
      </c>
    </row>
    <row r="443" spans="1:10">
      <c r="A443">
        <v>442</v>
      </c>
      <c r="B443" t="s">
        <v>36</v>
      </c>
      <c r="C443" t="e">
        <v>#N/A</v>
      </c>
      <c r="D443" t="s">
        <v>33</v>
      </c>
      <c r="E443">
        <v>81382615.61</v>
      </c>
      <c r="F443">
        <v>-31.56049</v>
      </c>
      <c r="G443">
        <v>-15.77798</v>
      </c>
      <c r="I443">
        <v>0.39248</v>
      </c>
      <c r="J443">
        <v>0</v>
      </c>
    </row>
    <row r="444" spans="1:10">
      <c r="A444">
        <v>443</v>
      </c>
      <c r="B444" t="s">
        <v>36</v>
      </c>
      <c r="C444" t="e">
        <v>#N/A</v>
      </c>
      <c r="D444" t="s">
        <v>19</v>
      </c>
      <c r="E444">
        <v>39874188.07</v>
      </c>
      <c r="F444">
        <v>99999999</v>
      </c>
      <c r="G444">
        <v>99999999</v>
      </c>
      <c r="I444">
        <v>0.0032</v>
      </c>
      <c r="J444">
        <v>0</v>
      </c>
    </row>
    <row r="445" spans="1:10">
      <c r="A445">
        <v>444</v>
      </c>
      <c r="B445" t="s">
        <v>36</v>
      </c>
      <c r="C445" t="e">
        <v>#N/A</v>
      </c>
      <c r="D445" t="s">
        <v>19</v>
      </c>
      <c r="E445">
        <v>9293624.53</v>
      </c>
      <c r="F445">
        <v>-34.66308</v>
      </c>
      <c r="G445">
        <v>16.89256</v>
      </c>
      <c r="I445">
        <v>0.20671</v>
      </c>
      <c r="J445">
        <v>0</v>
      </c>
    </row>
    <row r="446" spans="1:10">
      <c r="A446">
        <v>445</v>
      </c>
      <c r="B446" t="s">
        <v>36</v>
      </c>
      <c r="C446" t="e">
        <v>#N/A</v>
      </c>
      <c r="D446" t="s">
        <v>19</v>
      </c>
      <c r="E446">
        <v>27026424.8</v>
      </c>
      <c r="F446">
        <v>-0.23033</v>
      </c>
      <c r="G446">
        <v>139.2189</v>
      </c>
      <c r="I446">
        <v>0.59604</v>
      </c>
      <c r="J446">
        <v>0</v>
      </c>
    </row>
    <row r="447" spans="1:10">
      <c r="A447">
        <v>446</v>
      </c>
      <c r="B447" t="s">
        <v>36</v>
      </c>
      <c r="C447" t="e">
        <v>#N/A</v>
      </c>
      <c r="D447" t="s">
        <v>26</v>
      </c>
      <c r="E447">
        <v>29816543.65</v>
      </c>
      <c r="F447">
        <v>1.41164</v>
      </c>
      <c r="G447">
        <v>-2.316</v>
      </c>
      <c r="I447">
        <v>3.06806</v>
      </c>
      <c r="J447">
        <v>0</v>
      </c>
    </row>
    <row r="448" spans="1:10">
      <c r="A448">
        <v>447</v>
      </c>
      <c r="B448" t="s">
        <v>36</v>
      </c>
      <c r="C448" t="e">
        <v>#N/A</v>
      </c>
      <c r="D448" t="s">
        <v>32</v>
      </c>
      <c r="E448">
        <v>42451846.01</v>
      </c>
      <c r="F448">
        <v>27.97604</v>
      </c>
      <c r="G448">
        <v>99999999</v>
      </c>
      <c r="J448">
        <v>1</v>
      </c>
    </row>
    <row r="449" spans="1:10">
      <c r="A449">
        <v>448</v>
      </c>
      <c r="B449" t="s">
        <v>36</v>
      </c>
      <c r="C449" t="e">
        <v>#N/A</v>
      </c>
      <c r="D449" t="s">
        <v>34</v>
      </c>
      <c r="E449">
        <v>11503703.88</v>
      </c>
      <c r="F449">
        <v>106.11144</v>
      </c>
      <c r="G449">
        <v>99999999</v>
      </c>
      <c r="J449">
        <v>0</v>
      </c>
    </row>
    <row r="450" spans="1:10">
      <c r="A450">
        <v>449</v>
      </c>
      <c r="B450" t="s">
        <v>36</v>
      </c>
      <c r="C450" t="e">
        <v>#N/A</v>
      </c>
      <c r="D450" t="s">
        <v>33</v>
      </c>
      <c r="E450">
        <v>9162788.77</v>
      </c>
      <c r="F450">
        <v>99999999</v>
      </c>
      <c r="G450">
        <v>99999999</v>
      </c>
      <c r="I450">
        <v>-0.00294</v>
      </c>
      <c r="J450">
        <v>0</v>
      </c>
    </row>
    <row r="451" spans="1:10">
      <c r="A451">
        <v>450</v>
      </c>
      <c r="B451" t="s">
        <v>36</v>
      </c>
      <c r="C451" t="e">
        <v>#N/A</v>
      </c>
      <c r="D451" t="s">
        <v>34</v>
      </c>
      <c r="F451">
        <v>99999999</v>
      </c>
      <c r="G451">
        <v>99999999</v>
      </c>
      <c r="J451">
        <v>0</v>
      </c>
    </row>
    <row r="452" spans="1:10">
      <c r="A452">
        <v>451</v>
      </c>
      <c r="B452" t="s">
        <v>36</v>
      </c>
      <c r="C452" t="e">
        <v>#N/A</v>
      </c>
      <c r="D452" t="s">
        <v>19</v>
      </c>
      <c r="E452">
        <v>118323430.51</v>
      </c>
      <c r="F452">
        <v>-28.57068</v>
      </c>
      <c r="G452">
        <v>6.03893</v>
      </c>
      <c r="I452">
        <v>0.13782</v>
      </c>
      <c r="J452">
        <v>0</v>
      </c>
    </row>
    <row r="453" spans="1:10">
      <c r="A453">
        <v>452</v>
      </c>
      <c r="B453" t="s">
        <v>36</v>
      </c>
      <c r="C453" t="e">
        <v>#N/A</v>
      </c>
      <c r="D453" t="s">
        <v>19</v>
      </c>
      <c r="E453">
        <v>29816543.65</v>
      </c>
      <c r="F453">
        <v>1.41164</v>
      </c>
      <c r="G453">
        <v>-2.316</v>
      </c>
      <c r="I453">
        <v>3.06806</v>
      </c>
      <c r="J453">
        <v>0</v>
      </c>
    </row>
    <row r="454" spans="1:10">
      <c r="A454">
        <v>453</v>
      </c>
      <c r="B454" t="s">
        <v>36</v>
      </c>
      <c r="C454" t="e">
        <v>#N/A</v>
      </c>
      <c r="D454" t="s">
        <v>19</v>
      </c>
      <c r="E454">
        <v>9293624.53</v>
      </c>
      <c r="F454">
        <v>-34.66308</v>
      </c>
      <c r="G454">
        <v>16.89256</v>
      </c>
      <c r="I454">
        <v>0.20671</v>
      </c>
      <c r="J454">
        <v>0</v>
      </c>
    </row>
    <row r="455" spans="1:10">
      <c r="A455">
        <v>454</v>
      </c>
      <c r="B455" t="s">
        <v>36</v>
      </c>
      <c r="C455" t="e">
        <v>#N/A</v>
      </c>
      <c r="D455" t="s">
        <v>19</v>
      </c>
      <c r="E455">
        <v>71200080</v>
      </c>
      <c r="F455">
        <v>33.31746</v>
      </c>
      <c r="G455">
        <v>8.91856</v>
      </c>
      <c r="J455">
        <v>0</v>
      </c>
    </row>
    <row r="456" spans="1:10">
      <c r="A456">
        <v>455</v>
      </c>
      <c r="B456" t="s">
        <v>36</v>
      </c>
      <c r="C456" t="e">
        <v>#N/A</v>
      </c>
      <c r="D456" t="s">
        <v>19</v>
      </c>
      <c r="E456">
        <v>355429630</v>
      </c>
      <c r="F456">
        <v>39.29843</v>
      </c>
      <c r="G456">
        <v>31.65863</v>
      </c>
      <c r="J456">
        <v>0</v>
      </c>
    </row>
    <row r="457" spans="1:10">
      <c r="A457">
        <v>456</v>
      </c>
      <c r="B457" t="s">
        <v>36</v>
      </c>
      <c r="C457" t="e">
        <v>#N/A</v>
      </c>
      <c r="D457" t="s">
        <v>33</v>
      </c>
      <c r="E457">
        <v>42451846.01</v>
      </c>
      <c r="F457">
        <v>27.97604</v>
      </c>
      <c r="G457">
        <v>99999999</v>
      </c>
      <c r="J457">
        <v>1</v>
      </c>
    </row>
    <row r="458" spans="1:10">
      <c r="A458">
        <v>457</v>
      </c>
      <c r="B458" t="s">
        <v>36</v>
      </c>
      <c r="C458" t="e">
        <v>#N/A</v>
      </c>
      <c r="D458" t="s">
        <v>19</v>
      </c>
      <c r="E458">
        <v>19184173.85</v>
      </c>
      <c r="F458">
        <v>99999999</v>
      </c>
      <c r="G458">
        <v>99999999</v>
      </c>
      <c r="I458">
        <v>-0.02033</v>
      </c>
      <c r="J458">
        <v>0</v>
      </c>
    </row>
    <row r="459" spans="1:10">
      <c r="A459">
        <v>458</v>
      </c>
      <c r="B459" t="s">
        <v>36</v>
      </c>
      <c r="C459" t="e">
        <v>#N/A</v>
      </c>
      <c r="D459" t="s">
        <v>19</v>
      </c>
      <c r="E459">
        <v>35653636.34</v>
      </c>
      <c r="F459">
        <v>10.84112</v>
      </c>
      <c r="G459">
        <v>10.44702</v>
      </c>
      <c r="I459">
        <v>6.55795</v>
      </c>
      <c r="J459">
        <v>0</v>
      </c>
    </row>
    <row r="460" spans="1:10">
      <c r="A460">
        <v>459</v>
      </c>
      <c r="B460" t="s">
        <v>36</v>
      </c>
      <c r="C460" t="e">
        <v>#N/A</v>
      </c>
      <c r="D460" t="s">
        <v>26</v>
      </c>
      <c r="E460">
        <v>70191124.76</v>
      </c>
      <c r="F460">
        <v>27.51465</v>
      </c>
      <c r="G460">
        <v>106.2868</v>
      </c>
      <c r="J460">
        <v>0</v>
      </c>
    </row>
    <row r="461" spans="1:10">
      <c r="A461">
        <v>460</v>
      </c>
      <c r="B461" t="s">
        <v>36</v>
      </c>
      <c r="C461" t="e">
        <v>#N/A</v>
      </c>
      <c r="D461" t="s">
        <v>26</v>
      </c>
      <c r="E461">
        <v>169096778.69</v>
      </c>
      <c r="F461">
        <v>0.46841</v>
      </c>
      <c r="G461">
        <v>-10.55673</v>
      </c>
      <c r="J461">
        <v>0</v>
      </c>
    </row>
    <row r="462" spans="1:10">
      <c r="A462">
        <v>461</v>
      </c>
      <c r="B462" t="s">
        <v>36</v>
      </c>
      <c r="C462" t="e">
        <v>#N/A</v>
      </c>
      <c r="D462" t="s">
        <v>19</v>
      </c>
      <c r="E462">
        <v>38025040.91</v>
      </c>
      <c r="F462">
        <v>7.03985</v>
      </c>
      <c r="G462">
        <v>5.57069</v>
      </c>
      <c r="J462">
        <v>1</v>
      </c>
    </row>
    <row r="463" spans="1:10">
      <c r="A463">
        <v>462</v>
      </c>
      <c r="B463" t="s">
        <v>36</v>
      </c>
      <c r="C463" t="e">
        <v>#N/A</v>
      </c>
      <c r="D463" t="s">
        <v>33</v>
      </c>
      <c r="E463">
        <v>120034373.32</v>
      </c>
      <c r="F463">
        <v>99999999</v>
      </c>
      <c r="G463">
        <v>99999999</v>
      </c>
      <c r="J463">
        <v>1</v>
      </c>
    </row>
    <row r="464" spans="1:10">
      <c r="A464">
        <v>463</v>
      </c>
      <c r="B464" t="s">
        <v>36</v>
      </c>
      <c r="C464" t="e">
        <v>#N/A</v>
      </c>
      <c r="D464" t="s">
        <v>19</v>
      </c>
      <c r="E464">
        <v>134078163.12</v>
      </c>
      <c r="F464">
        <v>-37.60586</v>
      </c>
      <c r="G464">
        <v>-0.85086</v>
      </c>
      <c r="I464">
        <v>0.11344</v>
      </c>
      <c r="J464">
        <v>0</v>
      </c>
    </row>
    <row r="465" spans="1:10">
      <c r="A465">
        <v>464</v>
      </c>
      <c r="B465" t="s">
        <v>36</v>
      </c>
      <c r="C465" t="e">
        <v>#N/A</v>
      </c>
      <c r="D465" t="s">
        <v>33</v>
      </c>
      <c r="E465">
        <v>120034373.32</v>
      </c>
      <c r="F465">
        <v>99999999</v>
      </c>
      <c r="G465">
        <v>99999999</v>
      </c>
      <c r="J465">
        <v>1</v>
      </c>
    </row>
    <row r="466" spans="1:10">
      <c r="A466">
        <v>465</v>
      </c>
      <c r="B466" t="s">
        <v>36</v>
      </c>
      <c r="C466" t="e">
        <v>#N/A</v>
      </c>
      <c r="D466" t="s">
        <v>19</v>
      </c>
      <c r="F466">
        <v>99999999</v>
      </c>
      <c r="G466">
        <v>99999999</v>
      </c>
      <c r="J466">
        <v>0</v>
      </c>
    </row>
    <row r="467" spans="1:10">
      <c r="A467">
        <v>466</v>
      </c>
      <c r="B467" t="s">
        <v>36</v>
      </c>
      <c r="C467" t="e">
        <v>#N/A</v>
      </c>
      <c r="D467" t="s">
        <v>30</v>
      </c>
      <c r="E467">
        <v>42842031.05</v>
      </c>
      <c r="F467">
        <v>99999999</v>
      </c>
      <c r="G467">
        <v>99999999</v>
      </c>
      <c r="J467">
        <v>1</v>
      </c>
    </row>
    <row r="468" spans="1:10">
      <c r="A468">
        <v>467</v>
      </c>
      <c r="B468" t="s">
        <v>36</v>
      </c>
      <c r="C468" t="e">
        <v>#N/A</v>
      </c>
      <c r="D468" t="s">
        <v>19</v>
      </c>
      <c r="E468">
        <v>207399.67</v>
      </c>
      <c r="F468">
        <v>1.49749</v>
      </c>
      <c r="G468">
        <v>237.60826</v>
      </c>
      <c r="J468">
        <v>1</v>
      </c>
    </row>
    <row r="469" spans="1:10">
      <c r="A469">
        <v>468</v>
      </c>
      <c r="B469" t="s">
        <v>36</v>
      </c>
      <c r="C469" t="e">
        <v>#N/A</v>
      </c>
      <c r="D469" t="s">
        <v>26</v>
      </c>
      <c r="E469">
        <v>70191124.76</v>
      </c>
      <c r="F469">
        <v>27.51465</v>
      </c>
      <c r="G469">
        <v>106.2868</v>
      </c>
      <c r="J469">
        <v>0</v>
      </c>
    </row>
    <row r="470" spans="1:10">
      <c r="A470">
        <v>469</v>
      </c>
      <c r="B470" t="s">
        <v>36</v>
      </c>
      <c r="C470" t="e">
        <v>#N/A</v>
      </c>
      <c r="D470" t="s">
        <v>30</v>
      </c>
      <c r="E470">
        <v>960876.77</v>
      </c>
      <c r="F470">
        <v>99999999</v>
      </c>
      <c r="G470">
        <v>99999999</v>
      </c>
      <c r="J470">
        <v>0</v>
      </c>
    </row>
    <row r="471" spans="1:10">
      <c r="A471">
        <v>470</v>
      </c>
      <c r="B471" t="s">
        <v>36</v>
      </c>
      <c r="C471" t="e">
        <v>#N/A</v>
      </c>
      <c r="D471" t="s">
        <v>26</v>
      </c>
      <c r="E471">
        <v>169096778.69</v>
      </c>
      <c r="F471">
        <v>0.46841</v>
      </c>
      <c r="G471">
        <v>-10.55673</v>
      </c>
      <c r="J471">
        <v>0</v>
      </c>
    </row>
    <row r="472" spans="1:10">
      <c r="A472">
        <v>471</v>
      </c>
      <c r="B472" t="s">
        <v>36</v>
      </c>
      <c r="C472" t="e">
        <v>#N/A</v>
      </c>
      <c r="D472" t="s">
        <v>30</v>
      </c>
      <c r="E472">
        <v>55980655.36</v>
      </c>
      <c r="F472">
        <v>-136.85154</v>
      </c>
      <c r="G472">
        <v>35.76036</v>
      </c>
      <c r="J472">
        <v>0</v>
      </c>
    </row>
    <row r="473" spans="1:10">
      <c r="A473">
        <v>472</v>
      </c>
      <c r="B473" t="s">
        <v>17</v>
      </c>
      <c r="C473" t="s">
        <v>18</v>
      </c>
      <c r="D473" t="s">
        <v>19</v>
      </c>
      <c r="E473">
        <v>81578463.44</v>
      </c>
      <c r="F473">
        <v>-110.4</v>
      </c>
      <c r="G473">
        <v>-13.65832</v>
      </c>
      <c r="H473">
        <v>1.07665</v>
      </c>
      <c r="I473">
        <v>0.05247</v>
      </c>
      <c r="J473">
        <v>0</v>
      </c>
    </row>
    <row r="474" spans="1:10">
      <c r="A474">
        <v>473</v>
      </c>
      <c r="B474" t="s">
        <v>17</v>
      </c>
      <c r="C474" t="s">
        <v>18</v>
      </c>
      <c r="D474" t="s">
        <v>26</v>
      </c>
      <c r="E474">
        <v>27813250.84</v>
      </c>
      <c r="F474">
        <v>-1.16382</v>
      </c>
      <c r="G474">
        <v>-46.42592</v>
      </c>
      <c r="H474">
        <v>-13.93893</v>
      </c>
      <c r="I474">
        <v>0.33687</v>
      </c>
      <c r="J474">
        <v>0</v>
      </c>
    </row>
    <row r="475" spans="1:10">
      <c r="A475">
        <v>474</v>
      </c>
      <c r="B475" t="s">
        <v>17</v>
      </c>
      <c r="C475" t="s">
        <v>23</v>
      </c>
      <c r="D475" t="s">
        <v>39</v>
      </c>
      <c r="E475">
        <v>18064338.5</v>
      </c>
      <c r="F475">
        <v>-46.67</v>
      </c>
      <c r="G475">
        <v>0</v>
      </c>
      <c r="H475">
        <v>99999998</v>
      </c>
      <c r="I475">
        <v>0.17494</v>
      </c>
      <c r="J475">
        <v>0</v>
      </c>
    </row>
    <row r="476" spans="1:10">
      <c r="A476">
        <v>475</v>
      </c>
      <c r="B476" t="s">
        <v>17</v>
      </c>
      <c r="C476" t="s">
        <v>18</v>
      </c>
      <c r="D476" t="s">
        <v>19</v>
      </c>
      <c r="E476">
        <v>23871184.92</v>
      </c>
      <c r="F476">
        <v>-21.465</v>
      </c>
      <c r="G476">
        <v>-9.44906</v>
      </c>
      <c r="H476">
        <v>99999998</v>
      </c>
      <c r="I476">
        <v>0.12856</v>
      </c>
      <c r="J476">
        <v>0</v>
      </c>
    </row>
    <row r="477" spans="1:10">
      <c r="A477">
        <v>476</v>
      </c>
      <c r="B477" t="s">
        <v>17</v>
      </c>
      <c r="C477" t="s">
        <v>18</v>
      </c>
      <c r="D477" t="s">
        <v>19</v>
      </c>
      <c r="E477">
        <v>86507852.17</v>
      </c>
      <c r="F477">
        <v>-133.08334</v>
      </c>
      <c r="G477">
        <v>-10.68113</v>
      </c>
      <c r="H477">
        <v>99999998</v>
      </c>
      <c r="I477">
        <v>0.0001</v>
      </c>
      <c r="J477">
        <v>0</v>
      </c>
    </row>
    <row r="478" spans="1:10">
      <c r="A478">
        <v>477</v>
      </c>
      <c r="B478" t="s">
        <v>17</v>
      </c>
      <c r="C478" t="s">
        <v>18</v>
      </c>
      <c r="D478" t="s">
        <v>19</v>
      </c>
      <c r="E478">
        <v>31793038.63</v>
      </c>
      <c r="F478">
        <v>16.06632</v>
      </c>
      <c r="G478">
        <v>17.37673</v>
      </c>
      <c r="H478">
        <v>-1.4355</v>
      </c>
      <c r="I478">
        <v>0.71477</v>
      </c>
      <c r="J478">
        <v>0</v>
      </c>
    </row>
    <row r="479" spans="1:10">
      <c r="A479">
        <v>478</v>
      </c>
      <c r="B479" t="s">
        <v>17</v>
      </c>
      <c r="C479" t="s">
        <v>18</v>
      </c>
      <c r="D479" t="s">
        <v>19</v>
      </c>
      <c r="E479">
        <v>18064338.5</v>
      </c>
      <c r="F479">
        <v>-46.67</v>
      </c>
      <c r="G479">
        <v>0</v>
      </c>
      <c r="H479">
        <v>99999998</v>
      </c>
      <c r="I479">
        <v>0.17494</v>
      </c>
      <c r="J479">
        <v>0</v>
      </c>
    </row>
    <row r="480" spans="1:10">
      <c r="A480">
        <v>479</v>
      </c>
      <c r="B480" t="s">
        <v>17</v>
      </c>
      <c r="C480" t="s">
        <v>18</v>
      </c>
      <c r="D480" t="s">
        <v>19</v>
      </c>
      <c r="E480">
        <v>97841418.71</v>
      </c>
      <c r="F480">
        <v>-190.16</v>
      </c>
      <c r="G480">
        <v>-43.88</v>
      </c>
      <c r="H480">
        <v>99999998</v>
      </c>
      <c r="I480">
        <v>0.02746</v>
      </c>
      <c r="J480">
        <v>0</v>
      </c>
    </row>
    <row r="481" spans="1:10">
      <c r="A481">
        <v>480</v>
      </c>
      <c r="B481" t="s">
        <v>17</v>
      </c>
      <c r="C481" t="s">
        <v>18</v>
      </c>
      <c r="D481" t="s">
        <v>19</v>
      </c>
      <c r="E481">
        <v>38078848.07</v>
      </c>
      <c r="F481">
        <v>-12.86</v>
      </c>
      <c r="G481">
        <v>-18.85</v>
      </c>
      <c r="H481">
        <v>-1.66726</v>
      </c>
      <c r="I481">
        <v>0.30843</v>
      </c>
      <c r="J481">
        <v>0</v>
      </c>
    </row>
    <row r="482" spans="1:10">
      <c r="A482">
        <v>481</v>
      </c>
      <c r="B482" t="s">
        <v>17</v>
      </c>
      <c r="C482" t="s">
        <v>18</v>
      </c>
      <c r="D482" t="s">
        <v>19</v>
      </c>
      <c r="E482">
        <v>18698371.9</v>
      </c>
      <c r="F482">
        <v>-72.28</v>
      </c>
      <c r="G482">
        <v>0</v>
      </c>
      <c r="H482">
        <v>99999998</v>
      </c>
      <c r="I482">
        <v>0.20956</v>
      </c>
      <c r="J482">
        <v>0</v>
      </c>
    </row>
    <row r="483" spans="1:10">
      <c r="A483">
        <v>482</v>
      </c>
      <c r="B483" t="s">
        <v>17</v>
      </c>
      <c r="C483" t="s">
        <v>18</v>
      </c>
      <c r="D483" t="s">
        <v>19</v>
      </c>
      <c r="E483">
        <v>105389903.1</v>
      </c>
      <c r="F483">
        <v>-56.49</v>
      </c>
      <c r="G483">
        <v>90.06</v>
      </c>
      <c r="H483">
        <v>2.5538</v>
      </c>
      <c r="I483">
        <v>0.31387</v>
      </c>
      <c r="J483">
        <v>0</v>
      </c>
    </row>
    <row r="484" spans="1:10">
      <c r="A484">
        <v>483</v>
      </c>
      <c r="B484" t="s">
        <v>17</v>
      </c>
      <c r="C484" t="s">
        <v>18</v>
      </c>
      <c r="D484" t="s">
        <v>19</v>
      </c>
      <c r="E484">
        <v>39066588.35</v>
      </c>
      <c r="F484">
        <v>2.94</v>
      </c>
      <c r="G484">
        <v>1.45</v>
      </c>
      <c r="H484">
        <v>44.03624</v>
      </c>
      <c r="I484">
        <v>0.74498</v>
      </c>
      <c r="J484">
        <v>0</v>
      </c>
    </row>
    <row r="485" spans="1:10">
      <c r="A485">
        <v>484</v>
      </c>
      <c r="B485" t="s">
        <v>36</v>
      </c>
      <c r="C485" t="e">
        <v>#N/A</v>
      </c>
      <c r="D485" t="s">
        <v>19</v>
      </c>
      <c r="E485">
        <v>112705288.65</v>
      </c>
      <c r="F485">
        <v>-231.87817</v>
      </c>
      <c r="G485">
        <v>212.3374</v>
      </c>
      <c r="I485">
        <v>0.01606</v>
      </c>
      <c r="J485">
        <v>0</v>
      </c>
    </row>
    <row r="486" spans="1:10">
      <c r="A486">
        <v>485</v>
      </c>
      <c r="B486" t="s">
        <v>36</v>
      </c>
      <c r="C486" t="e">
        <v>#N/A</v>
      </c>
      <c r="D486" t="s">
        <v>19</v>
      </c>
      <c r="E486">
        <v>19332405.3</v>
      </c>
      <c r="F486">
        <v>-96.87293</v>
      </c>
      <c r="G486">
        <v>100</v>
      </c>
      <c r="I486">
        <v>0.20165</v>
      </c>
      <c r="J486">
        <v>0</v>
      </c>
    </row>
    <row r="487" spans="1:10">
      <c r="A487">
        <v>486</v>
      </c>
      <c r="B487" t="s">
        <v>36</v>
      </c>
      <c r="C487" t="e">
        <v>#N/A</v>
      </c>
      <c r="D487" t="s">
        <v>19</v>
      </c>
      <c r="E487">
        <v>44377720.36</v>
      </c>
      <c r="F487">
        <v>7.61221</v>
      </c>
      <c r="G487">
        <v>-0.13576</v>
      </c>
      <c r="I487">
        <v>0.87467</v>
      </c>
      <c r="J487">
        <v>0</v>
      </c>
    </row>
    <row r="488" spans="1:10">
      <c r="A488">
        <v>487</v>
      </c>
      <c r="B488" t="s">
        <v>36</v>
      </c>
      <c r="C488" t="e">
        <v>#N/A</v>
      </c>
      <c r="D488" t="s">
        <v>19</v>
      </c>
      <c r="E488">
        <v>100000000</v>
      </c>
      <c r="F488">
        <v>99999999</v>
      </c>
      <c r="G488">
        <v>99999999</v>
      </c>
      <c r="J488">
        <v>0</v>
      </c>
    </row>
    <row r="489" spans="1:10">
      <c r="A489">
        <v>488</v>
      </c>
      <c r="B489" t="s">
        <v>36</v>
      </c>
      <c r="C489" t="e">
        <v>#N/A</v>
      </c>
      <c r="D489" t="s">
        <v>30</v>
      </c>
      <c r="E489">
        <v>391089264</v>
      </c>
      <c r="F489">
        <v>-68.5301</v>
      </c>
      <c r="G489">
        <v>7.82714</v>
      </c>
      <c r="I489">
        <v>-0.36378</v>
      </c>
      <c r="J489">
        <v>0</v>
      </c>
    </row>
    <row r="490" spans="1:10">
      <c r="A490">
        <v>489</v>
      </c>
      <c r="B490" t="s">
        <v>36</v>
      </c>
      <c r="C490" t="e">
        <v>#N/A</v>
      </c>
      <c r="D490" t="s">
        <v>19</v>
      </c>
      <c r="E490">
        <v>119986603.54</v>
      </c>
      <c r="F490">
        <v>1507.00539</v>
      </c>
      <c r="G490">
        <v>59.11042</v>
      </c>
      <c r="I490">
        <v>2.53064</v>
      </c>
      <c r="J490">
        <v>0</v>
      </c>
    </row>
    <row r="491" spans="1:10">
      <c r="A491">
        <v>490</v>
      </c>
      <c r="B491" t="s">
        <v>36</v>
      </c>
      <c r="C491" t="e">
        <v>#N/A</v>
      </c>
      <c r="D491" t="s">
        <v>19</v>
      </c>
      <c r="E491">
        <v>49578123.24</v>
      </c>
      <c r="F491">
        <v>7.38271</v>
      </c>
      <c r="G491">
        <v>9.30852</v>
      </c>
      <c r="I491">
        <v>0.89831</v>
      </c>
      <c r="J491">
        <v>0</v>
      </c>
    </row>
    <row r="492" spans="1:10">
      <c r="A492">
        <v>491</v>
      </c>
      <c r="B492" t="s">
        <v>36</v>
      </c>
      <c r="C492" t="e">
        <v>#N/A</v>
      </c>
      <c r="D492" t="s">
        <v>34</v>
      </c>
      <c r="E492">
        <v>19966438.7</v>
      </c>
      <c r="F492">
        <v>-321.74369</v>
      </c>
      <c r="G492">
        <v>99999999</v>
      </c>
      <c r="I492">
        <v>0.12384</v>
      </c>
      <c r="J492">
        <v>0</v>
      </c>
    </row>
    <row r="493" spans="1:10">
      <c r="A493">
        <v>492</v>
      </c>
      <c r="B493" t="s">
        <v>36</v>
      </c>
      <c r="C493" t="e">
        <v>#N/A</v>
      </c>
      <c r="D493" t="s">
        <v>19</v>
      </c>
      <c r="E493">
        <v>19903346.78</v>
      </c>
      <c r="F493">
        <v>-505.914</v>
      </c>
      <c r="G493">
        <v>20</v>
      </c>
      <c r="I493">
        <v>0.04145</v>
      </c>
      <c r="J493">
        <v>1</v>
      </c>
    </row>
    <row r="494" spans="1:10">
      <c r="A494">
        <v>493</v>
      </c>
      <c r="B494" t="s">
        <v>36</v>
      </c>
      <c r="C494" t="e">
        <v>#N/A</v>
      </c>
      <c r="D494" t="s">
        <v>19</v>
      </c>
      <c r="E494">
        <v>54342940.03</v>
      </c>
      <c r="F494">
        <v>4.71935</v>
      </c>
      <c r="G494">
        <v>41.76234</v>
      </c>
      <c r="I494">
        <v>1.08529</v>
      </c>
      <c r="J494">
        <v>0</v>
      </c>
    </row>
    <row r="495" spans="1:10">
      <c r="A495">
        <v>494</v>
      </c>
      <c r="B495" t="s">
        <v>36</v>
      </c>
      <c r="C495" t="e">
        <v>#N/A</v>
      </c>
      <c r="D495" t="s">
        <v>19</v>
      </c>
      <c r="E495">
        <v>154061242.7</v>
      </c>
      <c r="F495">
        <v>-462.93697</v>
      </c>
      <c r="G495">
        <v>99999999</v>
      </c>
      <c r="I495">
        <v>-15.89468</v>
      </c>
      <c r="J495">
        <v>0</v>
      </c>
    </row>
    <row r="496" spans="1:10">
      <c r="A496">
        <v>495</v>
      </c>
      <c r="B496" t="s">
        <v>36</v>
      </c>
      <c r="C496" t="e">
        <v>#N/A</v>
      </c>
      <c r="D496" t="s">
        <v>34</v>
      </c>
      <c r="J496">
        <v>0</v>
      </c>
    </row>
    <row r="497" spans="1:10">
      <c r="A497">
        <v>496</v>
      </c>
      <c r="B497" t="s">
        <v>36</v>
      </c>
      <c r="C497" t="e">
        <v>#N/A</v>
      </c>
      <c r="D497" t="s">
        <v>19</v>
      </c>
      <c r="E497">
        <v>123269904.57</v>
      </c>
      <c r="F497">
        <v>99999999</v>
      </c>
      <c r="G497">
        <v>99999999</v>
      </c>
      <c r="J497">
        <v>0</v>
      </c>
    </row>
    <row r="498" spans="1:10">
      <c r="A498">
        <v>497</v>
      </c>
      <c r="B498" t="s">
        <v>36</v>
      </c>
      <c r="C498" t="e">
        <v>#N/A</v>
      </c>
      <c r="D498" t="s">
        <v>34</v>
      </c>
      <c r="J498">
        <v>0</v>
      </c>
    </row>
    <row r="499" spans="1:10">
      <c r="A499">
        <v>498</v>
      </c>
      <c r="B499" t="s">
        <v>36</v>
      </c>
      <c r="C499" t="e">
        <v>#N/A</v>
      </c>
      <c r="D499" t="s">
        <v>19</v>
      </c>
      <c r="E499">
        <v>64200351.03</v>
      </c>
      <c r="F499">
        <v>3.79518</v>
      </c>
      <c r="G499">
        <v>-19.99024</v>
      </c>
      <c r="I499">
        <v>0.71561</v>
      </c>
      <c r="J499">
        <v>0</v>
      </c>
    </row>
    <row r="500" spans="1:10">
      <c r="A500">
        <v>499</v>
      </c>
      <c r="B500" t="s">
        <v>20</v>
      </c>
      <c r="C500" t="s">
        <v>21</v>
      </c>
      <c r="D500" t="s">
        <v>35</v>
      </c>
      <c r="E500">
        <v>901803.63</v>
      </c>
      <c r="F500">
        <v>-9.54</v>
      </c>
      <c r="G500">
        <v>-18.3</v>
      </c>
      <c r="H500">
        <v>3.04013</v>
      </c>
      <c r="I500">
        <v>0.29089</v>
      </c>
      <c r="J500">
        <v>1</v>
      </c>
    </row>
    <row r="501" spans="1:10">
      <c r="A501">
        <v>500</v>
      </c>
      <c r="B501" t="s">
        <v>22</v>
      </c>
      <c r="C501" t="s">
        <v>23</v>
      </c>
      <c r="D501" t="s">
        <v>35</v>
      </c>
      <c r="E501">
        <v>84156669.78</v>
      </c>
      <c r="F501">
        <v>-79.33</v>
      </c>
      <c r="G501">
        <v>-18.35</v>
      </c>
      <c r="H501">
        <v>2.19385</v>
      </c>
      <c r="I501">
        <v>0.06377</v>
      </c>
      <c r="J501">
        <v>1</v>
      </c>
    </row>
    <row r="502" spans="1:10">
      <c r="A502">
        <v>501</v>
      </c>
      <c r="B502" t="s">
        <v>17</v>
      </c>
      <c r="C502" t="s">
        <v>18</v>
      </c>
      <c r="D502" t="s">
        <v>19</v>
      </c>
      <c r="E502">
        <v>43172062.61</v>
      </c>
      <c r="F502">
        <v>2.88</v>
      </c>
      <c r="G502">
        <v>4.71</v>
      </c>
      <c r="H502">
        <v>-10.97282</v>
      </c>
      <c r="I502">
        <v>0.80723</v>
      </c>
      <c r="J502">
        <v>0</v>
      </c>
    </row>
    <row r="503" spans="1:10">
      <c r="A503">
        <v>502</v>
      </c>
      <c r="B503" t="s">
        <v>20</v>
      </c>
      <c r="C503" t="s">
        <v>21</v>
      </c>
      <c r="D503" t="s">
        <v>35</v>
      </c>
      <c r="E503">
        <v>1279791.85</v>
      </c>
      <c r="F503">
        <v>-14.72157</v>
      </c>
      <c r="G503">
        <v>1.83483</v>
      </c>
      <c r="H503">
        <v>-4.23341</v>
      </c>
      <c r="I503">
        <v>0.26298</v>
      </c>
      <c r="J503">
        <v>1</v>
      </c>
    </row>
    <row r="504" spans="1:10">
      <c r="A504">
        <v>503</v>
      </c>
      <c r="B504" t="s">
        <v>22</v>
      </c>
      <c r="C504" t="s">
        <v>23</v>
      </c>
      <c r="D504" t="s">
        <v>35</v>
      </c>
      <c r="E504">
        <v>92742510</v>
      </c>
      <c r="F504">
        <v>-57.01063</v>
      </c>
      <c r="G504">
        <v>-1.71662</v>
      </c>
      <c r="H504">
        <v>3.64891</v>
      </c>
      <c r="I504">
        <v>0.09028</v>
      </c>
      <c r="J504">
        <v>1</v>
      </c>
    </row>
    <row r="505" spans="1:10">
      <c r="A505">
        <v>504</v>
      </c>
      <c r="B505" t="s">
        <v>17</v>
      </c>
      <c r="C505" t="s">
        <v>18</v>
      </c>
      <c r="D505" t="s">
        <v>19</v>
      </c>
      <c r="E505">
        <v>51283606.24</v>
      </c>
      <c r="F505">
        <v>0.0744</v>
      </c>
      <c r="G505">
        <v>30.35276</v>
      </c>
      <c r="H505">
        <v>11.24255</v>
      </c>
      <c r="I505">
        <v>0.66351</v>
      </c>
      <c r="J505">
        <v>0</v>
      </c>
    </row>
    <row r="506" spans="1:10">
      <c r="A506">
        <v>505</v>
      </c>
      <c r="B506" t="s">
        <v>22</v>
      </c>
      <c r="C506" t="s">
        <v>23</v>
      </c>
      <c r="D506" t="s">
        <v>35</v>
      </c>
      <c r="E506">
        <v>92742510</v>
      </c>
      <c r="F506">
        <v>-57.01063</v>
      </c>
      <c r="G506">
        <v>-1.71662</v>
      </c>
      <c r="H506">
        <v>3.64891</v>
      </c>
      <c r="I506">
        <v>0.09028</v>
      </c>
      <c r="J506">
        <v>1</v>
      </c>
    </row>
    <row r="507" spans="1:10">
      <c r="A507">
        <v>506</v>
      </c>
      <c r="B507" t="s">
        <v>20</v>
      </c>
      <c r="C507" t="s">
        <v>21</v>
      </c>
      <c r="D507" t="s">
        <v>19</v>
      </c>
      <c r="E507">
        <v>1279791.85</v>
      </c>
      <c r="F507">
        <v>-14.72157</v>
      </c>
      <c r="G507">
        <v>1.83483</v>
      </c>
      <c r="H507">
        <v>99999998</v>
      </c>
      <c r="I507">
        <v>0.26298</v>
      </c>
      <c r="J507">
        <v>1</v>
      </c>
    </row>
    <row r="508" spans="1:10">
      <c r="A508">
        <v>507</v>
      </c>
      <c r="B508" t="s">
        <v>22</v>
      </c>
      <c r="C508" t="s">
        <v>21</v>
      </c>
      <c r="D508" t="s">
        <v>32</v>
      </c>
      <c r="E508">
        <v>103452863.03</v>
      </c>
      <c r="F508">
        <v>-42.94559</v>
      </c>
      <c r="G508">
        <v>-1.88982</v>
      </c>
      <c r="I508">
        <v>0.04568</v>
      </c>
      <c r="J508">
        <v>1</v>
      </c>
    </row>
    <row r="509" spans="1:10">
      <c r="A509">
        <v>508</v>
      </c>
      <c r="B509" t="s">
        <v>31</v>
      </c>
      <c r="C509" t="s">
        <v>25</v>
      </c>
      <c r="D509" t="s">
        <v>30</v>
      </c>
      <c r="E509">
        <v>2120516.96</v>
      </c>
      <c r="F509">
        <v>-49.49379</v>
      </c>
      <c r="G509">
        <v>224.31717</v>
      </c>
      <c r="I509">
        <v>0.23168</v>
      </c>
      <c r="J509">
        <v>1</v>
      </c>
    </row>
    <row r="510" spans="1:10">
      <c r="A510">
        <v>509</v>
      </c>
      <c r="B510" t="s">
        <v>17</v>
      </c>
      <c r="C510" t="s">
        <v>18</v>
      </c>
      <c r="D510" t="s">
        <v>19</v>
      </c>
      <c r="E510">
        <v>54218343.36</v>
      </c>
      <c r="F510">
        <v>-15.23117</v>
      </c>
      <c r="G510">
        <v>17.08885</v>
      </c>
      <c r="H510">
        <v>99999998</v>
      </c>
      <c r="I510">
        <v>0.37194</v>
      </c>
      <c r="J510">
        <v>0</v>
      </c>
    </row>
    <row r="511" spans="1:10">
      <c r="A511">
        <v>510</v>
      </c>
      <c r="B511" t="s">
        <v>36</v>
      </c>
      <c r="C511" t="e">
        <v>#N/A</v>
      </c>
      <c r="D511" t="s">
        <v>30</v>
      </c>
      <c r="E511">
        <v>2120516.96</v>
      </c>
      <c r="F511">
        <v>-49.49</v>
      </c>
      <c r="G511">
        <v>224.31717</v>
      </c>
      <c r="H511">
        <v>2.69346</v>
      </c>
      <c r="I511">
        <v>0.07189</v>
      </c>
      <c r="J511">
        <v>0</v>
      </c>
    </row>
    <row r="512" spans="1:10">
      <c r="A512">
        <v>511</v>
      </c>
      <c r="B512" t="s">
        <v>36</v>
      </c>
      <c r="C512" t="e">
        <v>#N/A</v>
      </c>
      <c r="D512" t="s">
        <v>30</v>
      </c>
      <c r="E512">
        <v>575905841.1</v>
      </c>
      <c r="F512">
        <v>0.16033</v>
      </c>
      <c r="G512">
        <v>-13.95348</v>
      </c>
      <c r="I512">
        <v>0.19472</v>
      </c>
      <c r="J512">
        <v>0</v>
      </c>
    </row>
    <row r="513" spans="1:10">
      <c r="A513">
        <v>512</v>
      </c>
      <c r="B513" t="s">
        <v>36</v>
      </c>
      <c r="C513" t="e">
        <v>#N/A</v>
      </c>
      <c r="D513" t="s">
        <v>39</v>
      </c>
      <c r="E513">
        <v>55267792.26</v>
      </c>
      <c r="F513">
        <v>-40.12244</v>
      </c>
      <c r="G513">
        <v>13.20148</v>
      </c>
      <c r="I513">
        <v>0.07217</v>
      </c>
      <c r="J513">
        <v>0</v>
      </c>
    </row>
    <row r="514" spans="1:10">
      <c r="A514">
        <v>513</v>
      </c>
      <c r="B514" t="s">
        <v>36</v>
      </c>
      <c r="C514" t="e">
        <v>#N/A</v>
      </c>
      <c r="D514" t="s">
        <v>19</v>
      </c>
      <c r="E514">
        <v>137959217.28</v>
      </c>
      <c r="F514">
        <v>0.84294</v>
      </c>
      <c r="G514">
        <v>-3.6398</v>
      </c>
      <c r="I514">
        <v>0.56253</v>
      </c>
      <c r="J514">
        <v>0</v>
      </c>
    </row>
    <row r="515" spans="1:10">
      <c r="A515">
        <v>514</v>
      </c>
      <c r="B515" t="s">
        <v>36</v>
      </c>
      <c r="C515" t="e">
        <v>#N/A</v>
      </c>
      <c r="D515" t="s">
        <v>39</v>
      </c>
      <c r="E515">
        <v>56183735.95</v>
      </c>
      <c r="F515">
        <v>-74.57824</v>
      </c>
      <c r="G515">
        <v>117.16605</v>
      </c>
      <c r="I515">
        <v>-0.88681</v>
      </c>
      <c r="J515">
        <v>0</v>
      </c>
    </row>
    <row r="516" spans="1:10">
      <c r="A516">
        <v>515</v>
      </c>
      <c r="B516" t="s">
        <v>36</v>
      </c>
      <c r="C516" t="e">
        <v>#N/A</v>
      </c>
      <c r="D516" t="s">
        <v>19</v>
      </c>
      <c r="E516">
        <v>2048540.22</v>
      </c>
      <c r="F516">
        <v>99999999</v>
      </c>
      <c r="G516">
        <v>99999999</v>
      </c>
      <c r="J516">
        <v>0</v>
      </c>
    </row>
    <row r="517" spans="1:10">
      <c r="A517">
        <v>516</v>
      </c>
      <c r="B517" t="s">
        <v>17</v>
      </c>
      <c r="C517" t="s">
        <v>18</v>
      </c>
      <c r="D517" t="s">
        <v>30</v>
      </c>
      <c r="E517">
        <v>39507363.1</v>
      </c>
      <c r="F517">
        <v>-41.40917</v>
      </c>
      <c r="G517">
        <v>-54.31341</v>
      </c>
      <c r="H517">
        <v>99999998</v>
      </c>
      <c r="I517">
        <v>0.13994</v>
      </c>
      <c r="J517">
        <v>0</v>
      </c>
    </row>
    <row r="518" spans="1:10">
      <c r="A518">
        <v>517</v>
      </c>
      <c r="B518" t="s">
        <v>17</v>
      </c>
      <c r="C518" t="s">
        <v>18</v>
      </c>
      <c r="D518" t="s">
        <v>39</v>
      </c>
      <c r="E518">
        <v>6402931.29</v>
      </c>
      <c r="F518">
        <v>0.98</v>
      </c>
      <c r="G518">
        <v>6.75</v>
      </c>
      <c r="H518">
        <v>99999998</v>
      </c>
      <c r="I518">
        <v>0.39309</v>
      </c>
      <c r="J518">
        <v>0</v>
      </c>
    </row>
    <row r="519" spans="1:10">
      <c r="A519">
        <v>518</v>
      </c>
      <c r="B519" t="s">
        <v>17</v>
      </c>
      <c r="C519" t="s">
        <v>18</v>
      </c>
      <c r="D519" t="s">
        <v>39</v>
      </c>
      <c r="E519">
        <v>15131182.57</v>
      </c>
      <c r="F519">
        <v>-12.22</v>
      </c>
      <c r="G519">
        <v>18.04</v>
      </c>
      <c r="H519">
        <v>99999998</v>
      </c>
      <c r="I519">
        <v>0.2921</v>
      </c>
      <c r="J519">
        <v>0</v>
      </c>
    </row>
    <row r="520" spans="1:10">
      <c r="A520">
        <v>519</v>
      </c>
      <c r="B520" t="s">
        <v>17</v>
      </c>
      <c r="C520" t="s">
        <v>18</v>
      </c>
      <c r="D520" t="s">
        <v>19</v>
      </c>
      <c r="E520">
        <v>33847613.01</v>
      </c>
      <c r="F520">
        <v>-19.14227</v>
      </c>
      <c r="G520">
        <v>-14.21668</v>
      </c>
      <c r="H520">
        <v>99999998</v>
      </c>
      <c r="I520">
        <v>0.70636</v>
      </c>
      <c r="J520">
        <v>0</v>
      </c>
    </row>
    <row r="521" spans="1:10">
      <c r="A521">
        <v>520</v>
      </c>
      <c r="B521" t="s">
        <v>17</v>
      </c>
      <c r="C521" t="s">
        <v>18</v>
      </c>
      <c r="D521" t="s">
        <v>26</v>
      </c>
      <c r="E521">
        <v>15888099.35</v>
      </c>
      <c r="F521">
        <v>-46.06921</v>
      </c>
      <c r="G521">
        <v>10.78545</v>
      </c>
      <c r="H521">
        <v>99999998</v>
      </c>
      <c r="I521">
        <v>0.17288</v>
      </c>
      <c r="J521">
        <v>0</v>
      </c>
    </row>
    <row r="522" spans="1:10">
      <c r="A522">
        <v>521</v>
      </c>
      <c r="B522" t="s">
        <v>17</v>
      </c>
      <c r="C522" t="s">
        <v>18</v>
      </c>
      <c r="D522" t="s">
        <v>26</v>
      </c>
      <c r="E522">
        <v>7108688.75</v>
      </c>
      <c r="F522">
        <v>-20.11022</v>
      </c>
      <c r="G522">
        <v>-5.44735</v>
      </c>
      <c r="H522">
        <v>99999998</v>
      </c>
      <c r="I522">
        <v>0.26076</v>
      </c>
      <c r="J522">
        <v>0</v>
      </c>
    </row>
    <row r="523" spans="1:10">
      <c r="A523">
        <v>522</v>
      </c>
      <c r="B523" t="s">
        <v>17</v>
      </c>
      <c r="C523" t="s">
        <v>18</v>
      </c>
      <c r="D523" t="s">
        <v>19</v>
      </c>
      <c r="E523">
        <v>40209362.52</v>
      </c>
      <c r="F523">
        <v>-29.79176</v>
      </c>
      <c r="G523">
        <v>-2.56316</v>
      </c>
      <c r="H523">
        <v>99999998</v>
      </c>
      <c r="I523">
        <v>-0.53809</v>
      </c>
      <c r="J523">
        <v>0</v>
      </c>
    </row>
    <row r="524" spans="1:10">
      <c r="A524">
        <v>523</v>
      </c>
      <c r="B524" t="s">
        <v>17</v>
      </c>
      <c r="C524" t="s">
        <v>23</v>
      </c>
      <c r="D524" t="s">
        <v>32</v>
      </c>
      <c r="E524">
        <v>65615793.24</v>
      </c>
      <c r="F524">
        <v>-48.14</v>
      </c>
      <c r="G524">
        <v>-14.15</v>
      </c>
      <c r="H524">
        <v>99999998</v>
      </c>
      <c r="I524">
        <v>0.14151</v>
      </c>
      <c r="J524">
        <v>1</v>
      </c>
    </row>
    <row r="525" spans="1:10">
      <c r="A525">
        <v>524</v>
      </c>
      <c r="B525" t="s">
        <v>17</v>
      </c>
      <c r="C525" t="s">
        <v>18</v>
      </c>
      <c r="D525" t="s">
        <v>19</v>
      </c>
      <c r="E525">
        <v>45958695.97</v>
      </c>
      <c r="F525">
        <v>-33.38</v>
      </c>
      <c r="G525">
        <v>-36.13</v>
      </c>
      <c r="H525">
        <v>99999998</v>
      </c>
      <c r="I525">
        <v>-0.56125</v>
      </c>
      <c r="J525">
        <v>0</v>
      </c>
    </row>
    <row r="526" spans="1:10">
      <c r="A526">
        <v>525</v>
      </c>
      <c r="B526" t="s">
        <v>36</v>
      </c>
      <c r="C526" t="e">
        <v>#N/A</v>
      </c>
      <c r="D526" t="s">
        <v>19</v>
      </c>
      <c r="E526">
        <v>71204339.92</v>
      </c>
      <c r="F526">
        <v>-75.40599</v>
      </c>
      <c r="G526">
        <v>21.35071</v>
      </c>
      <c r="H526">
        <v>99999998</v>
      </c>
      <c r="I526">
        <v>-0.20465</v>
      </c>
      <c r="J526">
        <v>1</v>
      </c>
    </row>
    <row r="527" spans="1:10">
      <c r="A527">
        <v>526</v>
      </c>
      <c r="B527" t="s">
        <v>36</v>
      </c>
      <c r="C527" t="e">
        <v>#N/A</v>
      </c>
      <c r="D527" t="s">
        <v>39</v>
      </c>
      <c r="E527">
        <v>49361958.59</v>
      </c>
      <c r="F527">
        <v>0.53716</v>
      </c>
      <c r="G527">
        <v>-10.09651</v>
      </c>
      <c r="I527">
        <v>1.29226</v>
      </c>
      <c r="J527">
        <v>0</v>
      </c>
    </row>
    <row r="528" spans="1:10">
      <c r="A528">
        <v>527</v>
      </c>
      <c r="B528" t="s">
        <v>36</v>
      </c>
      <c r="C528" t="e">
        <v>#N/A</v>
      </c>
      <c r="D528" t="s">
        <v>34</v>
      </c>
      <c r="E528">
        <v>19171198.13</v>
      </c>
      <c r="F528">
        <v>-75.48953</v>
      </c>
      <c r="G528">
        <v>-6.21749</v>
      </c>
      <c r="I528">
        <v>0.14687</v>
      </c>
      <c r="J528">
        <v>0</v>
      </c>
    </row>
    <row r="529" spans="1:10">
      <c r="A529">
        <v>528</v>
      </c>
      <c r="B529" t="s">
        <v>36</v>
      </c>
      <c r="C529" t="e">
        <v>#N/A</v>
      </c>
      <c r="D529" t="s">
        <v>19</v>
      </c>
      <c r="E529">
        <v>10031834.41</v>
      </c>
      <c r="F529">
        <v>-16.05892</v>
      </c>
      <c r="G529">
        <v>-6.66704</v>
      </c>
      <c r="I529">
        <v>0.18293</v>
      </c>
      <c r="J529">
        <v>0</v>
      </c>
    </row>
    <row r="530" spans="1:10">
      <c r="A530">
        <v>529</v>
      </c>
      <c r="B530" t="s">
        <v>36</v>
      </c>
      <c r="C530" t="e">
        <v>#N/A</v>
      </c>
      <c r="D530" t="s">
        <v>19</v>
      </c>
      <c r="E530">
        <v>78821943.85</v>
      </c>
      <c r="F530">
        <v>-90.98269</v>
      </c>
      <c r="G530">
        <v>-18.38025</v>
      </c>
      <c r="I530">
        <v>-0.18214</v>
      </c>
      <c r="J530">
        <v>0</v>
      </c>
    </row>
    <row r="531" spans="1:10">
      <c r="A531">
        <v>530</v>
      </c>
      <c r="B531" t="s">
        <v>36</v>
      </c>
      <c r="C531" t="e">
        <v>#N/A</v>
      </c>
      <c r="D531" t="s">
        <v>19</v>
      </c>
      <c r="E531">
        <v>67175844.57</v>
      </c>
      <c r="F531">
        <v>2.08957</v>
      </c>
      <c r="G531">
        <v>-9.12194</v>
      </c>
      <c r="H531">
        <v>99999999</v>
      </c>
      <c r="I531">
        <v>0.95128</v>
      </c>
      <c r="J531">
        <v>1</v>
      </c>
    </row>
    <row r="532" spans="1:10">
      <c r="A532">
        <v>531</v>
      </c>
      <c r="B532" t="s">
        <v>36</v>
      </c>
      <c r="C532" t="e">
        <v>#N/A</v>
      </c>
      <c r="D532" t="s">
        <v>19</v>
      </c>
      <c r="E532">
        <v>67175844.57</v>
      </c>
      <c r="F532">
        <v>2.08957</v>
      </c>
      <c r="G532">
        <v>-9.12194</v>
      </c>
      <c r="H532">
        <v>99999999</v>
      </c>
      <c r="I532">
        <v>0.95128</v>
      </c>
      <c r="J532">
        <v>0</v>
      </c>
    </row>
    <row r="533" spans="1:10">
      <c r="A533">
        <v>532</v>
      </c>
      <c r="B533" t="s">
        <v>36</v>
      </c>
      <c r="C533" t="e">
        <v>#N/A</v>
      </c>
      <c r="D533" t="s">
        <v>26</v>
      </c>
      <c r="F533">
        <v>99999999</v>
      </c>
      <c r="G533">
        <v>-100</v>
      </c>
      <c r="I533">
        <v>0</v>
      </c>
      <c r="J533">
        <v>0</v>
      </c>
    </row>
    <row r="534" spans="1:10">
      <c r="A534">
        <v>533</v>
      </c>
      <c r="B534" t="s">
        <v>36</v>
      </c>
      <c r="C534" t="e">
        <v>#N/A</v>
      </c>
      <c r="D534" t="s">
        <v>19</v>
      </c>
      <c r="E534">
        <v>97617564.75</v>
      </c>
      <c r="F534">
        <v>-86.66547</v>
      </c>
      <c r="G534">
        <v>-36.08192</v>
      </c>
      <c r="I534">
        <v>-0.47155</v>
      </c>
      <c r="J534">
        <v>0</v>
      </c>
    </row>
    <row r="535" spans="1:10">
      <c r="A535">
        <v>534</v>
      </c>
      <c r="B535" t="s">
        <v>36</v>
      </c>
      <c r="C535" t="e">
        <v>#N/A</v>
      </c>
      <c r="D535" t="s">
        <v>19</v>
      </c>
      <c r="E535">
        <v>36923824.57</v>
      </c>
      <c r="F535">
        <v>-48.85935</v>
      </c>
      <c r="G535">
        <v>-16.9045</v>
      </c>
      <c r="I535">
        <v>0.21502</v>
      </c>
      <c r="J535">
        <v>1</v>
      </c>
    </row>
    <row r="536" spans="1:10">
      <c r="A536">
        <v>535</v>
      </c>
      <c r="B536" t="s">
        <v>36</v>
      </c>
      <c r="C536" t="e">
        <v>#N/A</v>
      </c>
      <c r="D536" t="s">
        <v>19</v>
      </c>
      <c r="E536">
        <v>137959217.28</v>
      </c>
      <c r="F536">
        <v>0.84294</v>
      </c>
      <c r="G536">
        <v>-3.6398</v>
      </c>
      <c r="I536">
        <v>0.72635</v>
      </c>
      <c r="J536">
        <v>0</v>
      </c>
    </row>
    <row r="537" spans="1:10">
      <c r="A537">
        <v>536</v>
      </c>
      <c r="B537" t="s">
        <v>36</v>
      </c>
      <c r="C537" t="e">
        <v>#N/A</v>
      </c>
      <c r="D537" t="s">
        <v>19</v>
      </c>
      <c r="E537">
        <v>21541264.12</v>
      </c>
      <c r="F537">
        <v>-79.47384</v>
      </c>
      <c r="G537">
        <v>99999999</v>
      </c>
      <c r="I537">
        <v>0.08048</v>
      </c>
      <c r="J537">
        <v>0</v>
      </c>
    </row>
    <row r="538" spans="1:10">
      <c r="A538">
        <v>537</v>
      </c>
      <c r="B538" t="s">
        <v>36</v>
      </c>
      <c r="C538" t="e">
        <v>#N/A</v>
      </c>
      <c r="D538" t="s">
        <v>26</v>
      </c>
      <c r="E538">
        <v>54179572.09</v>
      </c>
      <c r="F538">
        <v>-20.33262</v>
      </c>
      <c r="G538">
        <v>7.95943</v>
      </c>
      <c r="I538">
        <v>0.64019</v>
      </c>
      <c r="J538">
        <v>0</v>
      </c>
    </row>
    <row r="539" spans="1:10">
      <c r="A539">
        <v>538</v>
      </c>
      <c r="B539" t="s">
        <v>36</v>
      </c>
      <c r="C539" t="e">
        <v>#N/A</v>
      </c>
      <c r="D539" t="s">
        <v>19</v>
      </c>
      <c r="E539">
        <v>12423029.35</v>
      </c>
      <c r="F539">
        <v>-19.80976</v>
      </c>
      <c r="G539">
        <v>131.21541</v>
      </c>
      <c r="I539">
        <v>0.79643</v>
      </c>
      <c r="J539">
        <v>0</v>
      </c>
    </row>
    <row r="540" spans="1:10">
      <c r="A540">
        <v>539</v>
      </c>
      <c r="B540" t="s">
        <v>36</v>
      </c>
      <c r="C540" t="e">
        <v>#N/A</v>
      </c>
      <c r="D540" t="s">
        <v>19</v>
      </c>
      <c r="E540">
        <v>97617564.75</v>
      </c>
      <c r="F540">
        <v>-86.66547</v>
      </c>
      <c r="G540">
        <v>-36.08192</v>
      </c>
      <c r="I540">
        <v>-1.1512</v>
      </c>
      <c r="J540">
        <v>0</v>
      </c>
    </row>
    <row r="541" spans="1:10">
      <c r="A541">
        <v>540</v>
      </c>
      <c r="B541" t="s">
        <v>36</v>
      </c>
      <c r="C541" t="e">
        <v>#N/A</v>
      </c>
      <c r="D541" t="s">
        <v>19</v>
      </c>
      <c r="E541">
        <v>81314906.02</v>
      </c>
      <c r="F541">
        <v>-19.35752</v>
      </c>
      <c r="G541">
        <v>-12.02726</v>
      </c>
      <c r="J541">
        <v>0</v>
      </c>
    </row>
    <row r="542" spans="1:10">
      <c r="A542">
        <v>541</v>
      </c>
      <c r="B542" t="s">
        <v>36</v>
      </c>
      <c r="C542" t="e">
        <v>#N/A</v>
      </c>
      <c r="D542" t="s">
        <v>39</v>
      </c>
      <c r="E542">
        <v>137339575.84</v>
      </c>
      <c r="F542">
        <v>-28.88798</v>
      </c>
      <c r="G542">
        <v>6.04991</v>
      </c>
      <c r="I542">
        <v>0.39435</v>
      </c>
      <c r="J542">
        <v>0</v>
      </c>
    </row>
    <row r="543" spans="1:10">
      <c r="A543">
        <v>542</v>
      </c>
      <c r="B543" t="s">
        <v>36</v>
      </c>
      <c r="C543" t="e">
        <v>#N/A</v>
      </c>
      <c r="D543" t="s">
        <v>19</v>
      </c>
      <c r="E543">
        <v>11412613.55</v>
      </c>
      <c r="F543">
        <v>99999999</v>
      </c>
      <c r="G543">
        <v>99999999</v>
      </c>
      <c r="J543">
        <v>0</v>
      </c>
    </row>
    <row r="544" spans="1:10">
      <c r="A544">
        <v>543</v>
      </c>
      <c r="B544" t="s">
        <v>36</v>
      </c>
      <c r="C544" t="e">
        <v>#N/A</v>
      </c>
      <c r="D544" t="s">
        <v>34</v>
      </c>
      <c r="J544">
        <v>0</v>
      </c>
    </row>
    <row r="545" spans="1:10">
      <c r="A545">
        <v>544</v>
      </c>
      <c r="B545" t="s">
        <v>36</v>
      </c>
      <c r="C545" t="e">
        <v>#N/A</v>
      </c>
      <c r="D545" t="s">
        <v>19</v>
      </c>
      <c r="E545">
        <v>40912841.99</v>
      </c>
      <c r="F545">
        <v>-49.81</v>
      </c>
      <c r="G545">
        <v>-0.33</v>
      </c>
      <c r="J545">
        <v>0</v>
      </c>
    </row>
    <row r="546" spans="1:10">
      <c r="A546">
        <v>545</v>
      </c>
      <c r="B546" t="s">
        <v>36</v>
      </c>
      <c r="C546" t="e">
        <v>#N/A</v>
      </c>
      <c r="D546" t="s">
        <v>26</v>
      </c>
      <c r="E546">
        <v>17340453.92</v>
      </c>
      <c r="F546">
        <v>-33.37275</v>
      </c>
      <c r="G546">
        <v>99999999</v>
      </c>
      <c r="J546">
        <v>0</v>
      </c>
    </row>
    <row r="547" spans="1:10">
      <c r="A547">
        <v>546</v>
      </c>
      <c r="B547" t="s">
        <v>36</v>
      </c>
      <c r="C547" t="e">
        <v>#N/A</v>
      </c>
      <c r="D547" t="s">
        <v>19</v>
      </c>
      <c r="E547">
        <v>13567801.66</v>
      </c>
      <c r="F547">
        <v>-52.24876</v>
      </c>
      <c r="G547">
        <v>99999999</v>
      </c>
      <c r="J547">
        <v>0</v>
      </c>
    </row>
    <row r="548" spans="1:10">
      <c r="A548">
        <v>547</v>
      </c>
      <c r="B548" t="s">
        <v>36</v>
      </c>
      <c r="C548" t="e">
        <v>#N/A</v>
      </c>
      <c r="D548" t="s">
        <v>19</v>
      </c>
      <c r="J548">
        <v>0</v>
      </c>
    </row>
    <row r="549" spans="1:10">
      <c r="A549">
        <v>548</v>
      </c>
      <c r="B549" t="s">
        <v>36</v>
      </c>
      <c r="C549" t="e">
        <v>#N/A</v>
      </c>
      <c r="D549" t="s">
        <v>19</v>
      </c>
      <c r="E549">
        <v>81314906.02</v>
      </c>
      <c r="F549">
        <v>-19.35752</v>
      </c>
      <c r="G549">
        <v>-12.02726</v>
      </c>
      <c r="J549">
        <v>0</v>
      </c>
    </row>
    <row r="550" spans="1:10">
      <c r="A550">
        <v>549</v>
      </c>
      <c r="B550" t="s">
        <v>17</v>
      </c>
      <c r="C550" t="s">
        <v>18</v>
      </c>
      <c r="D550" t="s">
        <v>26</v>
      </c>
      <c r="E550">
        <v>148417774.38</v>
      </c>
      <c r="F550">
        <v>-279.09</v>
      </c>
      <c r="G550">
        <v>-68.14</v>
      </c>
      <c r="H550">
        <v>99999998</v>
      </c>
      <c r="I550">
        <v>-0.39307</v>
      </c>
      <c r="J550">
        <v>0</v>
      </c>
    </row>
    <row r="551" spans="1:10">
      <c r="A551">
        <v>550</v>
      </c>
      <c r="B551" t="s">
        <v>17</v>
      </c>
      <c r="C551" t="s">
        <v>18</v>
      </c>
      <c r="D551" t="s">
        <v>26</v>
      </c>
      <c r="E551">
        <v>172588826.34</v>
      </c>
      <c r="F551">
        <v>-46.31</v>
      </c>
      <c r="G551">
        <v>9.34</v>
      </c>
      <c r="H551">
        <v>99999998</v>
      </c>
      <c r="I551">
        <v>0.65834</v>
      </c>
      <c r="J551">
        <v>0</v>
      </c>
    </row>
    <row r="552" spans="1:10">
      <c r="A552">
        <v>551</v>
      </c>
      <c r="B552" t="s">
        <v>17</v>
      </c>
      <c r="C552" t="s">
        <v>18</v>
      </c>
      <c r="D552" t="s">
        <v>26</v>
      </c>
      <c r="E552">
        <v>172588826.34</v>
      </c>
      <c r="F552">
        <v>-46.31</v>
      </c>
      <c r="G552">
        <v>9.34</v>
      </c>
      <c r="H552">
        <v>99999998</v>
      </c>
      <c r="I552">
        <v>0.65834</v>
      </c>
      <c r="J552">
        <v>0</v>
      </c>
    </row>
    <row r="553" spans="1:10">
      <c r="A553">
        <v>552</v>
      </c>
      <c r="B553" t="s">
        <v>17</v>
      </c>
      <c r="C553" t="s">
        <v>18</v>
      </c>
      <c r="D553" t="s">
        <v>26</v>
      </c>
      <c r="E553">
        <v>196122696.47</v>
      </c>
      <c r="F553">
        <v>-102.82769</v>
      </c>
      <c r="G553">
        <v>-5.27222</v>
      </c>
      <c r="H553">
        <v>99999998</v>
      </c>
      <c r="I553">
        <v>0.10366</v>
      </c>
      <c r="J553">
        <v>0</v>
      </c>
    </row>
    <row r="554" spans="1:10">
      <c r="A554">
        <v>553</v>
      </c>
      <c r="B554" t="s">
        <v>36</v>
      </c>
      <c r="C554" t="e">
        <v>#N/A</v>
      </c>
      <c r="D554" t="s">
        <v>33</v>
      </c>
      <c r="E554">
        <v>200151123</v>
      </c>
      <c r="F554">
        <v>-83.3217</v>
      </c>
      <c r="G554">
        <v>6.99744</v>
      </c>
      <c r="I554">
        <v>-0.59444</v>
      </c>
      <c r="J554">
        <v>0</v>
      </c>
    </row>
    <row r="555" spans="1:10">
      <c r="A555">
        <v>554</v>
      </c>
      <c r="B555" t="s">
        <v>36</v>
      </c>
      <c r="C555" t="e">
        <v>#N/A</v>
      </c>
      <c r="D555" t="s">
        <v>33</v>
      </c>
      <c r="E555">
        <v>145872815.82</v>
      </c>
      <c r="F555">
        <v>-89.66794</v>
      </c>
      <c r="G555">
        <v>0.39738</v>
      </c>
      <c r="I555">
        <v>-0.24158</v>
      </c>
      <c r="J555">
        <v>0</v>
      </c>
    </row>
    <row r="556" spans="1:10">
      <c r="A556">
        <v>555</v>
      </c>
      <c r="B556" t="s">
        <v>36</v>
      </c>
      <c r="C556" t="e">
        <v>#N/A</v>
      </c>
      <c r="D556" t="s">
        <v>30</v>
      </c>
      <c r="E556">
        <v>147899654.77</v>
      </c>
      <c r="F556">
        <v>-89.16006</v>
      </c>
      <c r="G556">
        <v>0.60568</v>
      </c>
      <c r="I556">
        <v>-4.27228</v>
      </c>
      <c r="J556">
        <v>0</v>
      </c>
    </row>
    <row r="557" spans="1:10">
      <c r="A557">
        <v>556</v>
      </c>
      <c r="B557" t="s">
        <v>36</v>
      </c>
      <c r="C557" t="e">
        <v>#N/A</v>
      </c>
      <c r="D557" t="s">
        <v>39</v>
      </c>
      <c r="E557">
        <v>24780514</v>
      </c>
      <c r="F557">
        <v>0.87042</v>
      </c>
      <c r="G557">
        <v>-9.269</v>
      </c>
      <c r="J557">
        <v>0</v>
      </c>
    </row>
    <row r="558" spans="1:10">
      <c r="A558">
        <v>557</v>
      </c>
      <c r="B558" t="s">
        <v>17</v>
      </c>
      <c r="C558" t="s">
        <v>21</v>
      </c>
      <c r="D558" t="s">
        <v>19</v>
      </c>
      <c r="E558">
        <v>30897901.66</v>
      </c>
      <c r="F558">
        <v>3.4075</v>
      </c>
      <c r="G558">
        <v>-31.75978</v>
      </c>
      <c r="H558">
        <v>99999998</v>
      </c>
      <c r="I558">
        <v>0.38152</v>
      </c>
      <c r="J558">
        <v>0</v>
      </c>
    </row>
  </sheetData>
  <autoFilter xmlns:etc="http://www.wps.cn/officeDocument/2017/etCustomData" ref="A1:J558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8"/>
  <sheetViews>
    <sheetView workbookViewId="0">
      <selection activeCell="D291" sqref="D291"/>
    </sheetView>
  </sheetViews>
  <sheetFormatPr defaultColWidth="9" defaultRowHeight="16.8"/>
  <cols>
    <col min="1" max="1" width="6.6328125" customWidth="1"/>
    <col min="2" max="2" width="57.2734375" customWidth="1"/>
    <col min="3" max="3" width="57.09375" customWidth="1"/>
    <col min="4" max="4" width="50.453125" customWidth="1"/>
    <col min="5" max="5" width="21.2734375" customWidth="1"/>
    <col min="6" max="6" width="18.453125" customWidth="1"/>
    <col min="7" max="7" width="14.1796875" customWidth="1"/>
    <col min="8" max="8" width="17.90625" customWidth="1"/>
    <col min="9" max="9" width="23.90625" customWidth="1"/>
    <col min="10" max="10" width="10.6328125" customWidth="1"/>
  </cols>
  <sheetData>
    <row r="1" spans="1:10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>
      <c r="A2">
        <v>1</v>
      </c>
      <c r="B2" t="s">
        <v>17</v>
      </c>
      <c r="C2" t="s">
        <v>18</v>
      </c>
      <c r="D2" t="s">
        <v>19</v>
      </c>
      <c r="E2" t="s">
        <v>40</v>
      </c>
      <c r="F2" t="s">
        <v>41</v>
      </c>
      <c r="G2" t="s">
        <v>41</v>
      </c>
      <c r="H2">
        <v>99999998</v>
      </c>
      <c r="I2" t="s">
        <v>41</v>
      </c>
      <c r="J2">
        <v>0</v>
      </c>
    </row>
    <row r="3" spans="1:10">
      <c r="A3">
        <v>2</v>
      </c>
      <c r="B3" t="s">
        <v>17</v>
      </c>
      <c r="C3" t="s">
        <v>18</v>
      </c>
      <c r="D3" t="s">
        <v>19</v>
      </c>
      <c r="E3" t="s">
        <v>40</v>
      </c>
      <c r="F3" t="s">
        <v>41</v>
      </c>
      <c r="G3" t="s">
        <v>41</v>
      </c>
      <c r="H3">
        <v>99999998</v>
      </c>
      <c r="I3" t="s">
        <v>41</v>
      </c>
      <c r="J3">
        <v>0</v>
      </c>
    </row>
    <row r="4" spans="1:10">
      <c r="A4">
        <v>3</v>
      </c>
      <c r="B4" t="s">
        <v>17</v>
      </c>
      <c r="C4" t="s">
        <v>18</v>
      </c>
      <c r="D4" t="s">
        <v>19</v>
      </c>
      <c r="E4" t="s">
        <v>42</v>
      </c>
      <c r="F4" t="s">
        <v>41</v>
      </c>
      <c r="G4" t="s">
        <v>41</v>
      </c>
      <c r="H4" t="s">
        <v>43</v>
      </c>
      <c r="I4" t="s">
        <v>44</v>
      </c>
      <c r="J4">
        <v>0</v>
      </c>
    </row>
    <row r="5" spans="1:10">
      <c r="A5">
        <v>4</v>
      </c>
      <c r="B5" t="s">
        <v>17</v>
      </c>
      <c r="C5" t="s">
        <v>18</v>
      </c>
      <c r="D5" t="s">
        <v>19</v>
      </c>
      <c r="E5" t="s">
        <v>45</v>
      </c>
      <c r="F5" t="s">
        <v>41</v>
      </c>
      <c r="G5" t="s">
        <v>41</v>
      </c>
      <c r="H5" t="s">
        <v>46</v>
      </c>
      <c r="I5" t="s">
        <v>44</v>
      </c>
      <c r="J5">
        <v>0</v>
      </c>
    </row>
    <row r="6" spans="1:10">
      <c r="A6">
        <v>5</v>
      </c>
      <c r="B6" t="s">
        <v>20</v>
      </c>
      <c r="C6" t="s">
        <v>21</v>
      </c>
      <c r="D6" t="s">
        <v>19</v>
      </c>
      <c r="E6" t="s">
        <v>45</v>
      </c>
      <c r="F6" t="s">
        <v>41</v>
      </c>
      <c r="G6" t="s">
        <v>41</v>
      </c>
      <c r="H6">
        <v>99999998</v>
      </c>
      <c r="I6" t="s">
        <v>47</v>
      </c>
      <c r="J6">
        <v>0</v>
      </c>
    </row>
    <row r="7" spans="1:10">
      <c r="A7">
        <v>6</v>
      </c>
      <c r="B7" t="s">
        <v>17</v>
      </c>
      <c r="C7" t="s">
        <v>18</v>
      </c>
      <c r="D7" t="s">
        <v>19</v>
      </c>
      <c r="E7" t="s">
        <v>48</v>
      </c>
      <c r="F7" t="s">
        <v>41</v>
      </c>
      <c r="G7" t="s">
        <v>41</v>
      </c>
      <c r="H7">
        <v>99999998</v>
      </c>
      <c r="I7" t="s">
        <v>41</v>
      </c>
      <c r="J7">
        <v>0</v>
      </c>
    </row>
    <row r="8" spans="1:10">
      <c r="A8">
        <v>7</v>
      </c>
      <c r="B8" t="s">
        <v>22</v>
      </c>
      <c r="C8" t="s">
        <v>23</v>
      </c>
      <c r="D8" t="s">
        <v>24</v>
      </c>
      <c r="E8" t="s">
        <v>45</v>
      </c>
      <c r="F8" t="s">
        <v>41</v>
      </c>
      <c r="G8" t="s">
        <v>49</v>
      </c>
      <c r="H8" t="s">
        <v>43</v>
      </c>
      <c r="I8" t="s">
        <v>41</v>
      </c>
      <c r="J8">
        <v>0</v>
      </c>
    </row>
    <row r="9" spans="1:10">
      <c r="A9">
        <v>8</v>
      </c>
      <c r="B9" t="s">
        <v>17</v>
      </c>
      <c r="C9" t="s">
        <v>23</v>
      </c>
      <c r="D9" t="s">
        <v>19</v>
      </c>
      <c r="E9" t="s">
        <v>45</v>
      </c>
      <c r="F9" t="s">
        <v>50</v>
      </c>
      <c r="G9" t="s">
        <v>49</v>
      </c>
      <c r="H9" t="s">
        <v>51</v>
      </c>
      <c r="I9" t="s">
        <v>52</v>
      </c>
      <c r="J9">
        <v>0</v>
      </c>
    </row>
    <row r="10" spans="1:10">
      <c r="A10">
        <v>9</v>
      </c>
      <c r="B10" t="s">
        <v>17</v>
      </c>
      <c r="C10" t="s">
        <v>21</v>
      </c>
      <c r="D10" t="s">
        <v>19</v>
      </c>
      <c r="E10" t="s">
        <v>40</v>
      </c>
      <c r="F10" t="s">
        <v>41</v>
      </c>
      <c r="G10" t="s">
        <v>41</v>
      </c>
      <c r="H10">
        <v>99999998</v>
      </c>
      <c r="I10" t="s">
        <v>44</v>
      </c>
      <c r="J10">
        <v>0</v>
      </c>
    </row>
    <row r="11" spans="1:10">
      <c r="A11">
        <v>10</v>
      </c>
      <c r="B11" t="s">
        <v>17</v>
      </c>
      <c r="C11" t="s">
        <v>18</v>
      </c>
      <c r="D11" t="s">
        <v>19</v>
      </c>
      <c r="E11" t="s">
        <v>40</v>
      </c>
      <c r="F11" t="s">
        <v>41</v>
      </c>
      <c r="G11" t="s">
        <v>41</v>
      </c>
      <c r="H11" t="s">
        <v>51</v>
      </c>
      <c r="I11" t="s">
        <v>41</v>
      </c>
      <c r="J11">
        <v>0</v>
      </c>
    </row>
    <row r="12" spans="1:10">
      <c r="A12">
        <v>11</v>
      </c>
      <c r="B12" t="s">
        <v>17</v>
      </c>
      <c r="C12" t="s">
        <v>18</v>
      </c>
      <c r="D12" t="s">
        <v>19</v>
      </c>
      <c r="E12" t="s">
        <v>40</v>
      </c>
      <c r="F12" t="s">
        <v>41</v>
      </c>
      <c r="G12" t="s">
        <v>41</v>
      </c>
      <c r="H12">
        <v>99999998</v>
      </c>
      <c r="I12" t="s">
        <v>41</v>
      </c>
      <c r="J12">
        <v>0</v>
      </c>
    </row>
    <row r="13" spans="1:10">
      <c r="A13">
        <v>12</v>
      </c>
      <c r="B13" t="s">
        <v>17</v>
      </c>
      <c r="C13" t="s">
        <v>18</v>
      </c>
      <c r="D13" t="s">
        <v>19</v>
      </c>
      <c r="E13" t="s">
        <v>45</v>
      </c>
      <c r="F13" t="s">
        <v>50</v>
      </c>
      <c r="G13" t="s">
        <v>41</v>
      </c>
      <c r="H13" t="s">
        <v>46</v>
      </c>
      <c r="I13" t="s">
        <v>53</v>
      </c>
      <c r="J13">
        <v>0</v>
      </c>
    </row>
    <row r="14" spans="1:10">
      <c r="A14">
        <v>13</v>
      </c>
      <c r="B14" t="s">
        <v>17</v>
      </c>
      <c r="C14" t="s">
        <v>25</v>
      </c>
      <c r="D14" t="s">
        <v>19</v>
      </c>
      <c r="E14" t="s">
        <v>48</v>
      </c>
      <c r="F14" t="s">
        <v>41</v>
      </c>
      <c r="G14" t="s">
        <v>41</v>
      </c>
      <c r="H14" t="s">
        <v>43</v>
      </c>
      <c r="I14" t="s">
        <v>54</v>
      </c>
      <c r="J14">
        <v>0</v>
      </c>
    </row>
    <row r="15" spans="1:10">
      <c r="A15">
        <v>14</v>
      </c>
      <c r="B15" t="s">
        <v>17</v>
      </c>
      <c r="C15" t="s">
        <v>25</v>
      </c>
      <c r="D15" t="s">
        <v>19</v>
      </c>
      <c r="E15" t="s">
        <v>42</v>
      </c>
      <c r="F15" t="s">
        <v>41</v>
      </c>
      <c r="G15" t="s">
        <v>41</v>
      </c>
      <c r="H15" t="s">
        <v>41</v>
      </c>
      <c r="I15" t="s">
        <v>41</v>
      </c>
      <c r="J15">
        <v>0</v>
      </c>
    </row>
    <row r="16" spans="1:10">
      <c r="A16">
        <v>15</v>
      </c>
      <c r="B16" t="s">
        <v>17</v>
      </c>
      <c r="C16" t="s">
        <v>18</v>
      </c>
      <c r="D16" t="s">
        <v>19</v>
      </c>
      <c r="E16" t="s">
        <v>42</v>
      </c>
      <c r="F16" t="s">
        <v>55</v>
      </c>
      <c r="G16" t="s">
        <v>41</v>
      </c>
      <c r="H16" t="s">
        <v>43</v>
      </c>
      <c r="J16">
        <v>0</v>
      </c>
    </row>
    <row r="17" spans="1:10">
      <c r="A17">
        <v>16</v>
      </c>
      <c r="B17" t="s">
        <v>17</v>
      </c>
      <c r="C17" t="s">
        <v>25</v>
      </c>
      <c r="D17" t="s">
        <v>19</v>
      </c>
      <c r="E17" t="s">
        <v>42</v>
      </c>
      <c r="F17" t="s">
        <v>41</v>
      </c>
      <c r="G17" t="s">
        <v>41</v>
      </c>
      <c r="H17">
        <v>99999998</v>
      </c>
      <c r="I17" t="s">
        <v>41</v>
      </c>
      <c r="J17">
        <v>0</v>
      </c>
    </row>
    <row r="18" spans="1:10">
      <c r="A18">
        <v>17</v>
      </c>
      <c r="B18" t="s">
        <v>17</v>
      </c>
      <c r="C18" t="s">
        <v>21</v>
      </c>
      <c r="D18" t="s">
        <v>26</v>
      </c>
      <c r="E18" t="s">
        <v>48</v>
      </c>
      <c r="F18" t="s">
        <v>41</v>
      </c>
      <c r="G18" t="s">
        <v>41</v>
      </c>
      <c r="H18">
        <v>99999998</v>
      </c>
      <c r="I18" t="s">
        <v>41</v>
      </c>
      <c r="J18">
        <v>0</v>
      </c>
    </row>
    <row r="19" spans="1:10">
      <c r="A19">
        <v>18</v>
      </c>
      <c r="B19" t="s">
        <v>17</v>
      </c>
      <c r="C19" t="s">
        <v>18</v>
      </c>
      <c r="D19" t="s">
        <v>19</v>
      </c>
      <c r="E19" t="s">
        <v>42</v>
      </c>
      <c r="F19" t="s">
        <v>41</v>
      </c>
      <c r="G19" t="s">
        <v>56</v>
      </c>
      <c r="H19" t="s">
        <v>43</v>
      </c>
      <c r="I19" t="s">
        <v>41</v>
      </c>
      <c r="J19">
        <v>0</v>
      </c>
    </row>
    <row r="20" spans="1:10">
      <c r="A20">
        <v>19</v>
      </c>
      <c r="B20" t="s">
        <v>17</v>
      </c>
      <c r="C20" t="s">
        <v>18</v>
      </c>
      <c r="D20" t="s">
        <v>19</v>
      </c>
      <c r="E20" t="s">
        <v>40</v>
      </c>
      <c r="F20" t="s">
        <v>41</v>
      </c>
      <c r="G20" t="s">
        <v>41</v>
      </c>
      <c r="H20">
        <v>99999998</v>
      </c>
      <c r="I20" t="s">
        <v>41</v>
      </c>
      <c r="J20">
        <v>0</v>
      </c>
    </row>
    <row r="21" spans="1:10">
      <c r="A21">
        <v>20</v>
      </c>
      <c r="B21" t="s">
        <v>17</v>
      </c>
      <c r="C21" t="s">
        <v>18</v>
      </c>
      <c r="D21" t="s">
        <v>19</v>
      </c>
      <c r="E21" t="s">
        <v>40</v>
      </c>
      <c r="F21" t="s">
        <v>41</v>
      </c>
      <c r="G21" t="s">
        <v>41</v>
      </c>
      <c r="H21">
        <v>99999998</v>
      </c>
      <c r="I21" t="s">
        <v>41</v>
      </c>
      <c r="J21">
        <v>0</v>
      </c>
    </row>
    <row r="22" spans="1:10">
      <c r="A22">
        <v>21</v>
      </c>
      <c r="B22" t="s">
        <v>17</v>
      </c>
      <c r="C22" t="s">
        <v>18</v>
      </c>
      <c r="D22" t="s">
        <v>19</v>
      </c>
      <c r="E22" t="s">
        <v>40</v>
      </c>
      <c r="F22" t="s">
        <v>41</v>
      </c>
      <c r="G22" t="s">
        <v>41</v>
      </c>
      <c r="H22">
        <v>99999998</v>
      </c>
      <c r="I22" t="s">
        <v>41</v>
      </c>
      <c r="J22">
        <v>0</v>
      </c>
    </row>
    <row r="23" spans="1:10">
      <c r="A23">
        <v>22</v>
      </c>
      <c r="B23" t="s">
        <v>17</v>
      </c>
      <c r="C23" t="s">
        <v>18</v>
      </c>
      <c r="D23" t="s">
        <v>27</v>
      </c>
      <c r="E23" t="s">
        <v>45</v>
      </c>
      <c r="F23" t="s">
        <v>41</v>
      </c>
      <c r="G23" t="s">
        <v>41</v>
      </c>
      <c r="H23" t="s">
        <v>57</v>
      </c>
      <c r="I23" t="s">
        <v>41</v>
      </c>
      <c r="J23">
        <v>0</v>
      </c>
    </row>
    <row r="24" spans="1:10">
      <c r="A24">
        <v>23</v>
      </c>
      <c r="B24" t="s">
        <v>17</v>
      </c>
      <c r="C24" t="s">
        <v>18</v>
      </c>
      <c r="D24" t="s">
        <v>19</v>
      </c>
      <c r="E24" t="s">
        <v>45</v>
      </c>
      <c r="F24" t="s">
        <v>41</v>
      </c>
      <c r="G24" t="s">
        <v>41</v>
      </c>
      <c r="H24" t="s">
        <v>43</v>
      </c>
      <c r="I24" t="s">
        <v>52</v>
      </c>
      <c r="J24">
        <v>0</v>
      </c>
    </row>
    <row r="25" spans="1:10">
      <c r="A25">
        <v>24</v>
      </c>
      <c r="B25" t="s">
        <v>17</v>
      </c>
      <c r="C25" t="s">
        <v>18</v>
      </c>
      <c r="D25" t="s">
        <v>19</v>
      </c>
      <c r="E25" t="s">
        <v>58</v>
      </c>
      <c r="F25" t="s">
        <v>41</v>
      </c>
      <c r="G25" t="s">
        <v>41</v>
      </c>
      <c r="H25" t="s">
        <v>51</v>
      </c>
      <c r="I25" t="s">
        <v>54</v>
      </c>
      <c r="J25">
        <v>0</v>
      </c>
    </row>
    <row r="26" spans="1:10">
      <c r="A26">
        <v>25</v>
      </c>
      <c r="B26" t="s">
        <v>17</v>
      </c>
      <c r="C26" t="s">
        <v>18</v>
      </c>
      <c r="D26" t="s">
        <v>29</v>
      </c>
      <c r="E26" t="s">
        <v>48</v>
      </c>
      <c r="F26" t="s">
        <v>41</v>
      </c>
      <c r="G26" t="s">
        <v>41</v>
      </c>
      <c r="H26">
        <v>99999998</v>
      </c>
      <c r="I26" t="s">
        <v>53</v>
      </c>
      <c r="J26">
        <v>0</v>
      </c>
    </row>
    <row r="27" spans="1:10">
      <c r="A27">
        <v>26</v>
      </c>
      <c r="B27" t="s">
        <v>17</v>
      </c>
      <c r="C27" t="s">
        <v>18</v>
      </c>
      <c r="D27" t="s">
        <v>19</v>
      </c>
      <c r="E27" t="s">
        <v>40</v>
      </c>
      <c r="F27" t="s">
        <v>41</v>
      </c>
      <c r="G27" t="s">
        <v>49</v>
      </c>
      <c r="H27" t="s">
        <v>57</v>
      </c>
      <c r="I27" t="s">
        <v>59</v>
      </c>
      <c r="J27">
        <v>0</v>
      </c>
    </row>
    <row r="28" spans="1:10">
      <c r="A28">
        <v>27</v>
      </c>
      <c r="B28" t="s">
        <v>17</v>
      </c>
      <c r="C28" t="s">
        <v>18</v>
      </c>
      <c r="D28" t="s">
        <v>19</v>
      </c>
      <c r="E28" t="s">
        <v>45</v>
      </c>
      <c r="F28" t="s">
        <v>41</v>
      </c>
      <c r="G28" t="s">
        <v>41</v>
      </c>
      <c r="H28">
        <v>99999998</v>
      </c>
      <c r="I28" t="s">
        <v>41</v>
      </c>
      <c r="J28">
        <v>0</v>
      </c>
    </row>
    <row r="29" spans="1:10">
      <c r="A29">
        <v>28</v>
      </c>
      <c r="B29" t="s">
        <v>17</v>
      </c>
      <c r="C29" t="s">
        <v>18</v>
      </c>
      <c r="D29" t="s">
        <v>24</v>
      </c>
      <c r="E29" t="s">
        <v>48</v>
      </c>
      <c r="F29">
        <v>99999999</v>
      </c>
      <c r="G29" t="s">
        <v>41</v>
      </c>
      <c r="H29" t="s">
        <v>57</v>
      </c>
      <c r="I29" t="s">
        <v>41</v>
      </c>
      <c r="J29">
        <v>0</v>
      </c>
    </row>
    <row r="30" spans="1:10">
      <c r="A30">
        <v>29</v>
      </c>
      <c r="B30" t="s">
        <v>17</v>
      </c>
      <c r="C30" t="s">
        <v>18</v>
      </c>
      <c r="D30" t="s">
        <v>19</v>
      </c>
      <c r="E30" t="s">
        <v>45</v>
      </c>
      <c r="F30" t="s">
        <v>41</v>
      </c>
      <c r="G30" t="s">
        <v>41</v>
      </c>
      <c r="H30" t="s">
        <v>46</v>
      </c>
      <c r="I30" t="s">
        <v>47</v>
      </c>
      <c r="J30">
        <v>0</v>
      </c>
    </row>
    <row r="31" spans="1:10">
      <c r="A31">
        <v>30</v>
      </c>
      <c r="B31" t="s">
        <v>17</v>
      </c>
      <c r="C31" t="s">
        <v>25</v>
      </c>
      <c r="D31" t="s">
        <v>19</v>
      </c>
      <c r="E31" t="s">
        <v>58</v>
      </c>
      <c r="F31">
        <v>99999999</v>
      </c>
      <c r="G31">
        <v>99999999</v>
      </c>
      <c r="H31" t="s">
        <v>51</v>
      </c>
      <c r="I31" t="s">
        <v>41</v>
      </c>
      <c r="J31">
        <v>0</v>
      </c>
    </row>
    <row r="32" spans="1:10">
      <c r="A32">
        <v>31</v>
      </c>
      <c r="B32" t="s">
        <v>17</v>
      </c>
      <c r="C32" t="s">
        <v>25</v>
      </c>
      <c r="D32" t="s">
        <v>26</v>
      </c>
      <c r="E32" t="s">
        <v>45</v>
      </c>
      <c r="F32" t="s">
        <v>60</v>
      </c>
      <c r="G32" t="s">
        <v>41</v>
      </c>
      <c r="H32" t="s">
        <v>57</v>
      </c>
      <c r="I32" t="s">
        <v>53</v>
      </c>
      <c r="J32">
        <v>0</v>
      </c>
    </row>
    <row r="33" spans="1:10">
      <c r="A33">
        <v>32</v>
      </c>
      <c r="B33" t="s">
        <v>17</v>
      </c>
      <c r="C33" t="s">
        <v>18</v>
      </c>
      <c r="D33" t="s">
        <v>27</v>
      </c>
      <c r="E33" t="s">
        <v>45</v>
      </c>
      <c r="F33" t="s">
        <v>41</v>
      </c>
      <c r="G33" t="s">
        <v>41</v>
      </c>
      <c r="H33" t="s">
        <v>57</v>
      </c>
      <c r="I33" t="s">
        <v>41</v>
      </c>
      <c r="J33">
        <v>0</v>
      </c>
    </row>
    <row r="34" spans="1:10">
      <c r="A34">
        <v>33</v>
      </c>
      <c r="B34" t="s">
        <v>17</v>
      </c>
      <c r="C34" t="s">
        <v>21</v>
      </c>
      <c r="D34" t="s">
        <v>19</v>
      </c>
      <c r="E34" t="s">
        <v>58</v>
      </c>
      <c r="F34" t="s">
        <v>55</v>
      </c>
      <c r="G34" t="s">
        <v>41</v>
      </c>
      <c r="H34" t="s">
        <v>41</v>
      </c>
      <c r="I34" t="s">
        <v>52</v>
      </c>
      <c r="J34">
        <v>0</v>
      </c>
    </row>
    <row r="35" spans="1:10">
      <c r="A35">
        <v>34</v>
      </c>
      <c r="B35" t="s">
        <v>17</v>
      </c>
      <c r="C35" t="s">
        <v>18</v>
      </c>
      <c r="D35" t="s">
        <v>30</v>
      </c>
      <c r="E35" t="s">
        <v>48</v>
      </c>
      <c r="F35" t="s">
        <v>61</v>
      </c>
      <c r="G35" t="s">
        <v>41</v>
      </c>
      <c r="H35" t="s">
        <v>57</v>
      </c>
      <c r="I35" t="s">
        <v>62</v>
      </c>
      <c r="J35">
        <v>0</v>
      </c>
    </row>
    <row r="36" spans="1:10">
      <c r="A36">
        <v>35</v>
      </c>
      <c r="B36" t="s">
        <v>22</v>
      </c>
      <c r="C36" t="s">
        <v>23</v>
      </c>
      <c r="D36" t="s">
        <v>24</v>
      </c>
      <c r="E36" t="s">
        <v>48</v>
      </c>
      <c r="F36" t="s">
        <v>41</v>
      </c>
      <c r="G36" t="s">
        <v>41</v>
      </c>
      <c r="H36">
        <v>99999998</v>
      </c>
      <c r="I36" t="s">
        <v>41</v>
      </c>
      <c r="J36">
        <v>0</v>
      </c>
    </row>
    <row r="37" spans="1:10">
      <c r="A37">
        <v>36</v>
      </c>
      <c r="B37" t="s">
        <v>31</v>
      </c>
      <c r="C37" t="s">
        <v>23</v>
      </c>
      <c r="D37" t="s">
        <v>24</v>
      </c>
      <c r="E37" t="s">
        <v>40</v>
      </c>
      <c r="F37" t="s">
        <v>60</v>
      </c>
      <c r="G37" t="s">
        <v>41</v>
      </c>
      <c r="H37" t="s">
        <v>46</v>
      </c>
      <c r="J37">
        <v>1</v>
      </c>
    </row>
    <row r="38" spans="1:10">
      <c r="A38">
        <v>37</v>
      </c>
      <c r="B38" t="s">
        <v>17</v>
      </c>
      <c r="C38" t="s">
        <v>18</v>
      </c>
      <c r="D38" t="s">
        <v>19</v>
      </c>
      <c r="E38" t="s">
        <v>42</v>
      </c>
      <c r="F38" t="s">
        <v>41</v>
      </c>
      <c r="G38" t="s">
        <v>41</v>
      </c>
      <c r="H38" t="s">
        <v>41</v>
      </c>
      <c r="I38" t="s">
        <v>47</v>
      </c>
      <c r="J38">
        <v>0</v>
      </c>
    </row>
    <row r="39" spans="1:10">
      <c r="A39">
        <v>38</v>
      </c>
      <c r="B39" t="s">
        <v>17</v>
      </c>
      <c r="C39" t="s">
        <v>18</v>
      </c>
      <c r="D39" t="s">
        <v>19</v>
      </c>
      <c r="E39" t="s">
        <v>42</v>
      </c>
      <c r="F39" t="s">
        <v>41</v>
      </c>
      <c r="G39" t="s">
        <v>41</v>
      </c>
      <c r="H39" t="s">
        <v>41</v>
      </c>
      <c r="I39" t="s">
        <v>52</v>
      </c>
      <c r="J39">
        <v>0</v>
      </c>
    </row>
    <row r="40" spans="1:10">
      <c r="A40">
        <v>39</v>
      </c>
      <c r="B40" t="s">
        <v>17</v>
      </c>
      <c r="C40" t="s">
        <v>18</v>
      </c>
      <c r="D40" t="s">
        <v>19</v>
      </c>
      <c r="E40" t="s">
        <v>48</v>
      </c>
      <c r="F40" t="s">
        <v>61</v>
      </c>
      <c r="G40" t="s">
        <v>41</v>
      </c>
      <c r="H40" t="s">
        <v>57</v>
      </c>
      <c r="I40" t="s">
        <v>62</v>
      </c>
      <c r="J40">
        <v>0</v>
      </c>
    </row>
    <row r="41" spans="1:10">
      <c r="A41">
        <v>40</v>
      </c>
      <c r="B41" t="s">
        <v>17</v>
      </c>
      <c r="C41" t="s">
        <v>18</v>
      </c>
      <c r="D41" t="s">
        <v>27</v>
      </c>
      <c r="E41" t="s">
        <v>45</v>
      </c>
      <c r="F41" t="s">
        <v>41</v>
      </c>
      <c r="G41" t="s">
        <v>41</v>
      </c>
      <c r="H41" t="s">
        <v>63</v>
      </c>
      <c r="I41" t="s">
        <v>41</v>
      </c>
      <c r="J41">
        <v>0</v>
      </c>
    </row>
    <row r="42" spans="1:10">
      <c r="A42">
        <v>41</v>
      </c>
      <c r="B42" t="s">
        <v>31</v>
      </c>
      <c r="C42" t="s">
        <v>23</v>
      </c>
      <c r="D42" t="s">
        <v>24</v>
      </c>
      <c r="E42" t="s">
        <v>40</v>
      </c>
      <c r="F42" t="s">
        <v>60</v>
      </c>
      <c r="G42" t="s">
        <v>41</v>
      </c>
      <c r="H42">
        <v>99999999</v>
      </c>
      <c r="J42">
        <v>1</v>
      </c>
    </row>
    <row r="43" spans="1:10">
      <c r="A43">
        <v>42</v>
      </c>
      <c r="B43" t="s">
        <v>17</v>
      </c>
      <c r="C43" t="s">
        <v>18</v>
      </c>
      <c r="D43" t="s">
        <v>19</v>
      </c>
      <c r="E43" t="s">
        <v>48</v>
      </c>
      <c r="F43" t="s">
        <v>41</v>
      </c>
      <c r="G43" t="s">
        <v>41</v>
      </c>
      <c r="H43" t="s">
        <v>43</v>
      </c>
      <c r="I43" t="s">
        <v>59</v>
      </c>
      <c r="J43">
        <v>0</v>
      </c>
    </row>
    <row r="44" spans="1:10">
      <c r="A44">
        <v>43</v>
      </c>
      <c r="B44" t="s">
        <v>20</v>
      </c>
      <c r="C44" t="s">
        <v>21</v>
      </c>
      <c r="D44" t="s">
        <v>19</v>
      </c>
      <c r="E44" t="s">
        <v>45</v>
      </c>
      <c r="F44" t="s">
        <v>60</v>
      </c>
      <c r="G44" t="s">
        <v>41</v>
      </c>
      <c r="H44">
        <v>99999998</v>
      </c>
      <c r="I44" t="s">
        <v>53</v>
      </c>
      <c r="J44">
        <v>0</v>
      </c>
    </row>
    <row r="45" spans="1:10">
      <c r="A45">
        <v>44</v>
      </c>
      <c r="B45" t="s">
        <v>17</v>
      </c>
      <c r="C45" t="s">
        <v>18</v>
      </c>
      <c r="D45" t="s">
        <v>19</v>
      </c>
      <c r="E45" t="s">
        <v>48</v>
      </c>
      <c r="F45" t="s">
        <v>55</v>
      </c>
      <c r="G45" t="s">
        <v>41</v>
      </c>
      <c r="H45" t="s">
        <v>43</v>
      </c>
      <c r="I45" t="s">
        <v>52</v>
      </c>
      <c r="J45">
        <v>0</v>
      </c>
    </row>
    <row r="46" spans="1:10">
      <c r="A46">
        <v>45</v>
      </c>
      <c r="B46" t="s">
        <v>17</v>
      </c>
      <c r="C46" t="s">
        <v>21</v>
      </c>
      <c r="D46" t="s">
        <v>19</v>
      </c>
      <c r="E46" t="s">
        <v>40</v>
      </c>
      <c r="F46" t="s">
        <v>41</v>
      </c>
      <c r="G46" t="s">
        <v>41</v>
      </c>
      <c r="H46">
        <v>99999999</v>
      </c>
      <c r="I46" t="s">
        <v>47</v>
      </c>
      <c r="J46">
        <v>0</v>
      </c>
    </row>
    <row r="47" spans="1:10">
      <c r="A47">
        <v>46</v>
      </c>
      <c r="B47" t="s">
        <v>17</v>
      </c>
      <c r="C47" t="s">
        <v>21</v>
      </c>
      <c r="D47" t="s">
        <v>19</v>
      </c>
      <c r="E47" t="s">
        <v>58</v>
      </c>
      <c r="F47" t="s">
        <v>55</v>
      </c>
      <c r="G47" t="s">
        <v>41</v>
      </c>
      <c r="H47" t="s">
        <v>41</v>
      </c>
      <c r="I47" t="s">
        <v>52</v>
      </c>
      <c r="J47">
        <v>0</v>
      </c>
    </row>
    <row r="48" spans="1:10">
      <c r="A48">
        <v>47</v>
      </c>
      <c r="B48" t="s">
        <v>17</v>
      </c>
      <c r="C48" t="s">
        <v>23</v>
      </c>
      <c r="D48" t="s">
        <v>32</v>
      </c>
      <c r="E48" t="s">
        <v>45</v>
      </c>
      <c r="F48" t="s">
        <v>41</v>
      </c>
      <c r="G48" t="s">
        <v>64</v>
      </c>
      <c r="H48" t="s">
        <v>51</v>
      </c>
      <c r="I48" t="s">
        <v>44</v>
      </c>
      <c r="J48">
        <v>0</v>
      </c>
    </row>
    <row r="49" spans="1:10">
      <c r="A49">
        <v>48</v>
      </c>
      <c r="B49" t="s">
        <v>22</v>
      </c>
      <c r="C49" t="s">
        <v>23</v>
      </c>
      <c r="D49" t="s">
        <v>24</v>
      </c>
      <c r="E49" t="s">
        <v>48</v>
      </c>
      <c r="F49" t="s">
        <v>41</v>
      </c>
      <c r="G49" t="s">
        <v>41</v>
      </c>
      <c r="H49">
        <v>99999998</v>
      </c>
      <c r="I49" t="s">
        <v>41</v>
      </c>
      <c r="J49">
        <v>0</v>
      </c>
    </row>
    <row r="50" spans="1:10">
      <c r="A50">
        <v>49</v>
      </c>
      <c r="B50" t="s">
        <v>17</v>
      </c>
      <c r="C50" t="s">
        <v>18</v>
      </c>
      <c r="D50" t="s">
        <v>19</v>
      </c>
      <c r="E50" t="s">
        <v>40</v>
      </c>
      <c r="F50" t="s">
        <v>41</v>
      </c>
      <c r="G50" t="s">
        <v>41</v>
      </c>
      <c r="H50">
        <v>99999998</v>
      </c>
      <c r="I50" t="s">
        <v>41</v>
      </c>
      <c r="J50">
        <v>0</v>
      </c>
    </row>
    <row r="51" spans="1:10">
      <c r="A51">
        <v>50</v>
      </c>
      <c r="B51" t="s">
        <v>17</v>
      </c>
      <c r="C51" t="s">
        <v>18</v>
      </c>
      <c r="D51" t="s">
        <v>27</v>
      </c>
      <c r="E51" t="s">
        <v>45</v>
      </c>
      <c r="F51" t="s">
        <v>50</v>
      </c>
      <c r="G51" t="s">
        <v>56</v>
      </c>
      <c r="H51" t="s">
        <v>43</v>
      </c>
      <c r="I51" t="s">
        <v>52</v>
      </c>
      <c r="J51">
        <v>0</v>
      </c>
    </row>
    <row r="52" spans="1:10">
      <c r="A52">
        <v>51</v>
      </c>
      <c r="B52" t="s">
        <v>17</v>
      </c>
      <c r="C52" t="s">
        <v>18</v>
      </c>
      <c r="D52" t="s">
        <v>19</v>
      </c>
      <c r="E52" t="s">
        <v>58</v>
      </c>
      <c r="F52" t="s">
        <v>55</v>
      </c>
      <c r="G52" t="s">
        <v>41</v>
      </c>
      <c r="H52" t="s">
        <v>46</v>
      </c>
      <c r="I52" t="s">
        <v>52</v>
      </c>
      <c r="J52">
        <v>0</v>
      </c>
    </row>
    <row r="53" spans="1:10">
      <c r="A53">
        <v>52</v>
      </c>
      <c r="B53" t="s">
        <v>17</v>
      </c>
      <c r="C53" t="s">
        <v>18</v>
      </c>
      <c r="D53" t="s">
        <v>19</v>
      </c>
      <c r="E53" t="s">
        <v>40</v>
      </c>
      <c r="F53" t="s">
        <v>41</v>
      </c>
      <c r="G53" t="s">
        <v>41</v>
      </c>
      <c r="H53">
        <v>99999999</v>
      </c>
      <c r="I53" t="s">
        <v>41</v>
      </c>
      <c r="J53">
        <v>0</v>
      </c>
    </row>
    <row r="54" spans="1:10">
      <c r="A54">
        <v>53</v>
      </c>
      <c r="B54" t="s">
        <v>22</v>
      </c>
      <c r="C54" t="s">
        <v>21</v>
      </c>
      <c r="D54" t="s">
        <v>26</v>
      </c>
      <c r="E54" t="s">
        <v>40</v>
      </c>
      <c r="F54" t="s">
        <v>41</v>
      </c>
      <c r="G54" t="s">
        <v>41</v>
      </c>
      <c r="H54" t="s">
        <v>43</v>
      </c>
      <c r="I54" t="s">
        <v>59</v>
      </c>
      <c r="J54">
        <v>0</v>
      </c>
    </row>
    <row r="55" spans="1:10">
      <c r="A55">
        <v>54</v>
      </c>
      <c r="B55" t="s">
        <v>17</v>
      </c>
      <c r="C55" t="s">
        <v>18</v>
      </c>
      <c r="D55" t="s">
        <v>19</v>
      </c>
      <c r="E55" t="s">
        <v>45</v>
      </c>
      <c r="F55" t="s">
        <v>60</v>
      </c>
      <c r="G55" t="s">
        <v>65</v>
      </c>
      <c r="H55">
        <v>99999998</v>
      </c>
      <c r="I55" t="s">
        <v>59</v>
      </c>
      <c r="J55">
        <v>0</v>
      </c>
    </row>
    <row r="56" spans="1:10">
      <c r="A56">
        <v>55</v>
      </c>
      <c r="B56" t="s">
        <v>17</v>
      </c>
      <c r="C56" t="s">
        <v>18</v>
      </c>
      <c r="D56" t="s">
        <v>19</v>
      </c>
      <c r="E56" t="s">
        <v>40</v>
      </c>
      <c r="F56" t="s">
        <v>61</v>
      </c>
      <c r="G56" t="s">
        <v>56</v>
      </c>
      <c r="H56">
        <v>99999998</v>
      </c>
      <c r="I56" t="s">
        <v>47</v>
      </c>
      <c r="J56">
        <v>0</v>
      </c>
    </row>
    <row r="57" spans="1:10">
      <c r="A57">
        <v>56</v>
      </c>
      <c r="B57" t="s">
        <v>17</v>
      </c>
      <c r="C57" t="s">
        <v>18</v>
      </c>
      <c r="D57" t="s">
        <v>19</v>
      </c>
      <c r="E57" t="s">
        <v>45</v>
      </c>
      <c r="F57" t="s">
        <v>41</v>
      </c>
      <c r="G57" t="s">
        <v>41</v>
      </c>
      <c r="H57" t="s">
        <v>43</v>
      </c>
      <c r="I57" t="s">
        <v>44</v>
      </c>
      <c r="J57">
        <v>0</v>
      </c>
    </row>
    <row r="58" spans="1:10">
      <c r="A58">
        <v>57</v>
      </c>
      <c r="B58" t="s">
        <v>17</v>
      </c>
      <c r="C58" t="s">
        <v>18</v>
      </c>
      <c r="D58" t="s">
        <v>19</v>
      </c>
      <c r="E58" t="s">
        <v>48</v>
      </c>
      <c r="F58" t="s">
        <v>41</v>
      </c>
      <c r="G58" t="s">
        <v>41</v>
      </c>
      <c r="H58" t="s">
        <v>57</v>
      </c>
      <c r="I58" t="s">
        <v>54</v>
      </c>
      <c r="J58">
        <v>0</v>
      </c>
    </row>
    <row r="59" spans="1:10">
      <c r="A59">
        <v>58</v>
      </c>
      <c r="B59" t="s">
        <v>17</v>
      </c>
      <c r="C59" t="s">
        <v>18</v>
      </c>
      <c r="D59" t="s">
        <v>26</v>
      </c>
      <c r="E59" t="s">
        <v>45</v>
      </c>
      <c r="F59" t="s">
        <v>55</v>
      </c>
      <c r="G59" t="s">
        <v>64</v>
      </c>
      <c r="H59" t="s">
        <v>43</v>
      </c>
      <c r="I59" t="s">
        <v>47</v>
      </c>
      <c r="J59">
        <v>0</v>
      </c>
    </row>
    <row r="60" spans="1:10">
      <c r="A60">
        <v>59</v>
      </c>
      <c r="B60" t="s">
        <v>17</v>
      </c>
      <c r="C60" t="s">
        <v>18</v>
      </c>
      <c r="D60" t="s">
        <v>19</v>
      </c>
      <c r="E60" t="s">
        <v>45</v>
      </c>
      <c r="F60" t="s">
        <v>41</v>
      </c>
      <c r="G60" t="s">
        <v>41</v>
      </c>
      <c r="H60" t="s">
        <v>46</v>
      </c>
      <c r="I60" t="s">
        <v>44</v>
      </c>
      <c r="J60">
        <v>0</v>
      </c>
    </row>
    <row r="61" spans="1:10">
      <c r="A61">
        <v>60</v>
      </c>
      <c r="B61" t="s">
        <v>17</v>
      </c>
      <c r="C61" t="s">
        <v>18</v>
      </c>
      <c r="D61" t="s">
        <v>19</v>
      </c>
      <c r="E61" t="s">
        <v>42</v>
      </c>
      <c r="F61" t="s">
        <v>61</v>
      </c>
      <c r="G61" t="s">
        <v>56</v>
      </c>
      <c r="H61" t="s">
        <v>43</v>
      </c>
      <c r="I61" t="s">
        <v>52</v>
      </c>
      <c r="J61">
        <v>0</v>
      </c>
    </row>
    <row r="62" spans="1:10">
      <c r="A62">
        <v>61</v>
      </c>
      <c r="B62" t="s">
        <v>17</v>
      </c>
      <c r="C62" t="s">
        <v>18</v>
      </c>
      <c r="D62" t="s">
        <v>19</v>
      </c>
      <c r="E62" t="s">
        <v>48</v>
      </c>
      <c r="F62" t="s">
        <v>55</v>
      </c>
      <c r="G62" t="s">
        <v>65</v>
      </c>
      <c r="H62" t="s">
        <v>63</v>
      </c>
      <c r="I62" t="s">
        <v>53</v>
      </c>
      <c r="J62">
        <v>0</v>
      </c>
    </row>
    <row r="63" spans="1:10">
      <c r="A63">
        <v>62</v>
      </c>
      <c r="B63" t="s">
        <v>17</v>
      </c>
      <c r="C63" t="s">
        <v>18</v>
      </c>
      <c r="D63" t="s">
        <v>19</v>
      </c>
      <c r="E63" t="s">
        <v>45</v>
      </c>
      <c r="F63" t="s">
        <v>50</v>
      </c>
      <c r="G63" t="s">
        <v>41</v>
      </c>
      <c r="H63" t="s">
        <v>66</v>
      </c>
      <c r="I63" t="s">
        <v>59</v>
      </c>
      <c r="J63">
        <v>0</v>
      </c>
    </row>
    <row r="64" spans="1:10">
      <c r="A64">
        <v>63</v>
      </c>
      <c r="B64" t="s">
        <v>17</v>
      </c>
      <c r="C64" t="s">
        <v>18</v>
      </c>
      <c r="D64" t="s">
        <v>19</v>
      </c>
      <c r="E64" t="s">
        <v>40</v>
      </c>
      <c r="F64" t="s">
        <v>41</v>
      </c>
      <c r="G64" t="s">
        <v>56</v>
      </c>
      <c r="H64">
        <v>99999998</v>
      </c>
      <c r="I64" t="s">
        <v>44</v>
      </c>
      <c r="J64">
        <v>0</v>
      </c>
    </row>
    <row r="65" spans="1:10">
      <c r="A65">
        <v>64</v>
      </c>
      <c r="B65" t="s">
        <v>17</v>
      </c>
      <c r="C65" t="s">
        <v>18</v>
      </c>
      <c r="D65" t="s">
        <v>19</v>
      </c>
      <c r="E65" t="s">
        <v>45</v>
      </c>
      <c r="F65" t="s">
        <v>61</v>
      </c>
      <c r="G65" t="s">
        <v>65</v>
      </c>
      <c r="H65" t="s">
        <v>46</v>
      </c>
      <c r="I65" t="s">
        <v>59</v>
      </c>
      <c r="J65">
        <v>0</v>
      </c>
    </row>
    <row r="66" spans="1:10">
      <c r="A66">
        <v>65</v>
      </c>
      <c r="B66" t="s">
        <v>17</v>
      </c>
      <c r="C66" t="s">
        <v>18</v>
      </c>
      <c r="D66" t="s">
        <v>19</v>
      </c>
      <c r="E66" t="s">
        <v>45</v>
      </c>
      <c r="F66" t="s">
        <v>61</v>
      </c>
      <c r="G66" t="s">
        <v>65</v>
      </c>
      <c r="H66" t="s">
        <v>43</v>
      </c>
      <c r="I66" t="s">
        <v>62</v>
      </c>
      <c r="J66">
        <v>0</v>
      </c>
    </row>
    <row r="67" spans="1:10">
      <c r="A67">
        <v>66</v>
      </c>
      <c r="B67" t="s">
        <v>17</v>
      </c>
      <c r="C67" t="s">
        <v>18</v>
      </c>
      <c r="D67" t="s">
        <v>19</v>
      </c>
      <c r="E67" t="s">
        <v>42</v>
      </c>
      <c r="F67" t="s">
        <v>41</v>
      </c>
      <c r="G67" t="s">
        <v>41</v>
      </c>
      <c r="H67" t="s">
        <v>51</v>
      </c>
      <c r="I67" t="s">
        <v>41</v>
      </c>
      <c r="J67">
        <v>0</v>
      </c>
    </row>
    <row r="68" spans="1:10">
      <c r="A68">
        <v>67</v>
      </c>
      <c r="B68" t="s">
        <v>17</v>
      </c>
      <c r="C68" t="s">
        <v>18</v>
      </c>
      <c r="D68" t="s">
        <v>19</v>
      </c>
      <c r="E68" t="s">
        <v>42</v>
      </c>
      <c r="F68" t="s">
        <v>55</v>
      </c>
      <c r="G68" t="s">
        <v>41</v>
      </c>
      <c r="H68" t="s">
        <v>51</v>
      </c>
      <c r="I68" t="s">
        <v>53</v>
      </c>
      <c r="J68">
        <v>0</v>
      </c>
    </row>
    <row r="69" spans="1:10">
      <c r="A69">
        <v>68</v>
      </c>
      <c r="B69" t="s">
        <v>17</v>
      </c>
      <c r="C69" t="s">
        <v>18</v>
      </c>
      <c r="D69" t="s">
        <v>19</v>
      </c>
      <c r="E69" t="s">
        <v>40</v>
      </c>
      <c r="F69" t="s">
        <v>41</v>
      </c>
      <c r="G69" t="s">
        <v>65</v>
      </c>
      <c r="H69">
        <v>99999999</v>
      </c>
      <c r="I69" t="s">
        <v>41</v>
      </c>
      <c r="J69">
        <v>0</v>
      </c>
    </row>
    <row r="70" spans="1:10">
      <c r="A70">
        <v>69</v>
      </c>
      <c r="B70" t="s">
        <v>17</v>
      </c>
      <c r="C70" t="s">
        <v>25</v>
      </c>
      <c r="D70" t="s">
        <v>33</v>
      </c>
      <c r="E70" t="s">
        <v>40</v>
      </c>
      <c r="F70" t="s">
        <v>41</v>
      </c>
      <c r="G70" t="s">
        <v>41</v>
      </c>
      <c r="H70">
        <v>99999999</v>
      </c>
      <c r="I70" t="s">
        <v>41</v>
      </c>
      <c r="J70">
        <v>0</v>
      </c>
    </row>
    <row r="71" spans="1:10">
      <c r="A71">
        <v>70</v>
      </c>
      <c r="B71" t="s">
        <v>17</v>
      </c>
      <c r="C71" t="s">
        <v>18</v>
      </c>
      <c r="D71" t="s">
        <v>19</v>
      </c>
      <c r="E71" t="s">
        <v>40</v>
      </c>
      <c r="F71" t="s">
        <v>41</v>
      </c>
      <c r="G71" t="s">
        <v>41</v>
      </c>
      <c r="H71">
        <v>99999999</v>
      </c>
      <c r="I71" t="s">
        <v>44</v>
      </c>
      <c r="J71">
        <v>0</v>
      </c>
    </row>
    <row r="72" spans="1:10">
      <c r="A72">
        <v>71</v>
      </c>
      <c r="B72" t="s">
        <v>17</v>
      </c>
      <c r="C72" t="s">
        <v>18</v>
      </c>
      <c r="D72" t="s">
        <v>19</v>
      </c>
      <c r="E72" t="s">
        <v>48</v>
      </c>
      <c r="F72" t="s">
        <v>41</v>
      </c>
      <c r="G72" t="s">
        <v>41</v>
      </c>
      <c r="H72">
        <v>99999998</v>
      </c>
      <c r="I72" t="s">
        <v>54</v>
      </c>
      <c r="J72">
        <v>0</v>
      </c>
    </row>
    <row r="73" spans="1:10">
      <c r="A73">
        <v>72</v>
      </c>
      <c r="B73" t="s">
        <v>17</v>
      </c>
      <c r="C73" t="s">
        <v>18</v>
      </c>
      <c r="D73" t="s">
        <v>19</v>
      </c>
      <c r="E73" t="s">
        <v>45</v>
      </c>
      <c r="F73" t="s">
        <v>50</v>
      </c>
      <c r="G73" t="s">
        <v>56</v>
      </c>
      <c r="H73" t="s">
        <v>46</v>
      </c>
      <c r="I73" t="s">
        <v>62</v>
      </c>
      <c r="J73">
        <v>0</v>
      </c>
    </row>
    <row r="74" spans="1:10">
      <c r="A74">
        <v>73</v>
      </c>
      <c r="B74" t="s">
        <v>17</v>
      </c>
      <c r="C74" t="s">
        <v>18</v>
      </c>
      <c r="D74" t="s">
        <v>19</v>
      </c>
      <c r="E74" t="s">
        <v>48</v>
      </c>
      <c r="F74" t="s">
        <v>60</v>
      </c>
      <c r="G74" t="s">
        <v>64</v>
      </c>
      <c r="H74">
        <v>99999998</v>
      </c>
      <c r="I74" t="s">
        <v>59</v>
      </c>
      <c r="J74">
        <v>0</v>
      </c>
    </row>
    <row r="75" spans="1:10">
      <c r="A75">
        <v>74</v>
      </c>
      <c r="B75" t="s">
        <v>17</v>
      </c>
      <c r="C75" t="s">
        <v>18</v>
      </c>
      <c r="D75" t="s">
        <v>19</v>
      </c>
      <c r="E75" t="s">
        <v>40</v>
      </c>
      <c r="F75" t="s">
        <v>41</v>
      </c>
      <c r="G75" t="s">
        <v>49</v>
      </c>
      <c r="H75">
        <v>99999998</v>
      </c>
      <c r="J75">
        <v>0</v>
      </c>
    </row>
    <row r="76" spans="1:10">
      <c r="A76">
        <v>75</v>
      </c>
      <c r="B76" t="s">
        <v>31</v>
      </c>
      <c r="C76" t="s">
        <v>25</v>
      </c>
      <c r="D76" t="s">
        <v>24</v>
      </c>
      <c r="E76" t="s">
        <v>45</v>
      </c>
      <c r="F76" t="s">
        <v>41</v>
      </c>
      <c r="G76" t="s">
        <v>65</v>
      </c>
      <c r="H76" t="s">
        <v>51</v>
      </c>
      <c r="I76" t="s">
        <v>41</v>
      </c>
      <c r="J76">
        <v>0</v>
      </c>
    </row>
    <row r="77" spans="1:10">
      <c r="A77">
        <v>76</v>
      </c>
      <c r="B77" t="s">
        <v>17</v>
      </c>
      <c r="C77" t="s">
        <v>18</v>
      </c>
      <c r="D77" t="s">
        <v>32</v>
      </c>
      <c r="E77" t="s">
        <v>58</v>
      </c>
      <c r="F77" t="s">
        <v>41</v>
      </c>
      <c r="G77" t="s">
        <v>49</v>
      </c>
      <c r="H77">
        <v>99999998</v>
      </c>
      <c r="I77" t="s">
        <v>41</v>
      </c>
      <c r="J77">
        <v>1</v>
      </c>
    </row>
    <row r="78" spans="1:10">
      <c r="A78">
        <v>77</v>
      </c>
      <c r="B78" t="s">
        <v>17</v>
      </c>
      <c r="C78" t="s">
        <v>18</v>
      </c>
      <c r="D78" t="s">
        <v>27</v>
      </c>
      <c r="E78" t="s">
        <v>45</v>
      </c>
      <c r="F78" t="s">
        <v>50</v>
      </c>
      <c r="G78" t="s">
        <v>65</v>
      </c>
      <c r="H78" t="s">
        <v>51</v>
      </c>
      <c r="I78" t="s">
        <v>59</v>
      </c>
      <c r="J78">
        <v>0</v>
      </c>
    </row>
    <row r="79" spans="1:10">
      <c r="A79">
        <v>78</v>
      </c>
      <c r="B79" t="s">
        <v>17</v>
      </c>
      <c r="C79" t="s">
        <v>18</v>
      </c>
      <c r="D79" t="s">
        <v>19</v>
      </c>
      <c r="E79" t="s">
        <v>40</v>
      </c>
      <c r="F79" t="s">
        <v>41</v>
      </c>
      <c r="G79" t="s">
        <v>41</v>
      </c>
      <c r="H79" t="s">
        <v>57</v>
      </c>
      <c r="I79" t="s">
        <v>41</v>
      </c>
      <c r="J79">
        <v>0</v>
      </c>
    </row>
    <row r="80" spans="1:10">
      <c r="A80">
        <v>79</v>
      </c>
      <c r="B80" t="s">
        <v>17</v>
      </c>
      <c r="C80" t="s">
        <v>18</v>
      </c>
      <c r="D80" t="s">
        <v>19</v>
      </c>
      <c r="E80" t="s">
        <v>48</v>
      </c>
      <c r="F80" t="s">
        <v>41</v>
      </c>
      <c r="G80" t="s">
        <v>41</v>
      </c>
      <c r="H80" t="s">
        <v>43</v>
      </c>
      <c r="I80" t="s">
        <v>59</v>
      </c>
      <c r="J80">
        <v>0</v>
      </c>
    </row>
    <row r="81" spans="1:10">
      <c r="A81">
        <v>80</v>
      </c>
      <c r="B81" t="s">
        <v>31</v>
      </c>
      <c r="C81" t="s">
        <v>25</v>
      </c>
      <c r="D81" t="s">
        <v>24</v>
      </c>
      <c r="E81" t="s">
        <v>45</v>
      </c>
      <c r="F81" t="s">
        <v>41</v>
      </c>
      <c r="G81" t="s">
        <v>65</v>
      </c>
      <c r="H81" t="s">
        <v>51</v>
      </c>
      <c r="I81" t="s">
        <v>41</v>
      </c>
      <c r="J81">
        <v>0</v>
      </c>
    </row>
    <row r="82" spans="1:10">
      <c r="A82">
        <v>81</v>
      </c>
      <c r="B82" t="s">
        <v>17</v>
      </c>
      <c r="C82" t="s">
        <v>21</v>
      </c>
      <c r="D82" t="s">
        <v>19</v>
      </c>
      <c r="E82" t="s">
        <v>40</v>
      </c>
      <c r="F82" t="s">
        <v>61</v>
      </c>
      <c r="G82" t="s">
        <v>56</v>
      </c>
      <c r="H82">
        <v>99999998</v>
      </c>
      <c r="I82" t="s">
        <v>52</v>
      </c>
      <c r="J82">
        <v>0</v>
      </c>
    </row>
    <row r="83" spans="1:10">
      <c r="A83">
        <v>82</v>
      </c>
      <c r="B83" t="s">
        <v>17</v>
      </c>
      <c r="C83" t="s">
        <v>25</v>
      </c>
      <c r="D83" t="s">
        <v>19</v>
      </c>
      <c r="E83" t="s">
        <v>40</v>
      </c>
      <c r="F83" t="s">
        <v>41</v>
      </c>
      <c r="G83" t="s">
        <v>41</v>
      </c>
      <c r="H83">
        <v>99999998</v>
      </c>
      <c r="I83" t="s">
        <v>41</v>
      </c>
      <c r="J83">
        <v>0</v>
      </c>
    </row>
    <row r="84" spans="1:10">
      <c r="A84">
        <v>83</v>
      </c>
      <c r="B84" t="s">
        <v>17</v>
      </c>
      <c r="C84" t="s">
        <v>18</v>
      </c>
      <c r="D84" t="s">
        <v>34</v>
      </c>
      <c r="J84">
        <v>0</v>
      </c>
    </row>
    <row r="85" spans="1:10">
      <c r="A85">
        <v>84</v>
      </c>
      <c r="B85" t="s">
        <v>17</v>
      </c>
      <c r="C85" t="s">
        <v>18</v>
      </c>
      <c r="D85" t="s">
        <v>19</v>
      </c>
      <c r="E85" t="s">
        <v>45</v>
      </c>
      <c r="F85" t="s">
        <v>61</v>
      </c>
      <c r="G85" t="s">
        <v>65</v>
      </c>
      <c r="H85" t="s">
        <v>46</v>
      </c>
      <c r="I85" t="s">
        <v>59</v>
      </c>
      <c r="J85">
        <v>0</v>
      </c>
    </row>
    <row r="86" spans="1:10">
      <c r="A86">
        <v>85</v>
      </c>
      <c r="B86" t="s">
        <v>20</v>
      </c>
      <c r="C86" t="s">
        <v>23</v>
      </c>
      <c r="D86" t="s">
        <v>29</v>
      </c>
      <c r="E86" t="s">
        <v>40</v>
      </c>
      <c r="F86" t="s">
        <v>41</v>
      </c>
      <c r="G86" t="s">
        <v>56</v>
      </c>
      <c r="H86" t="s">
        <v>57</v>
      </c>
      <c r="I86" t="s">
        <v>44</v>
      </c>
      <c r="J86">
        <v>1</v>
      </c>
    </row>
    <row r="87" spans="1:10">
      <c r="A87">
        <v>86</v>
      </c>
      <c r="B87" t="s">
        <v>22</v>
      </c>
      <c r="C87" t="s">
        <v>23</v>
      </c>
      <c r="D87" t="s">
        <v>19</v>
      </c>
      <c r="E87" t="s">
        <v>48</v>
      </c>
      <c r="F87" t="s">
        <v>41</v>
      </c>
      <c r="G87" t="s">
        <v>41</v>
      </c>
      <c r="H87">
        <v>99999998</v>
      </c>
      <c r="I87" t="s">
        <v>44</v>
      </c>
      <c r="J87">
        <v>1</v>
      </c>
    </row>
    <row r="88" spans="1:10">
      <c r="A88">
        <v>87</v>
      </c>
      <c r="B88" t="s">
        <v>17</v>
      </c>
      <c r="C88" t="s">
        <v>18</v>
      </c>
      <c r="D88" t="s">
        <v>19</v>
      </c>
      <c r="E88" t="s">
        <v>48</v>
      </c>
      <c r="F88" t="s">
        <v>55</v>
      </c>
      <c r="G88" t="s">
        <v>41</v>
      </c>
      <c r="H88" t="s">
        <v>51</v>
      </c>
      <c r="I88" t="s">
        <v>52</v>
      </c>
      <c r="J88">
        <v>0</v>
      </c>
    </row>
    <row r="89" spans="1:10">
      <c r="A89">
        <v>88</v>
      </c>
      <c r="B89" t="s">
        <v>17</v>
      </c>
      <c r="C89" t="s">
        <v>18</v>
      </c>
      <c r="D89" t="s">
        <v>19</v>
      </c>
      <c r="E89" t="s">
        <v>40</v>
      </c>
      <c r="F89" t="s">
        <v>41</v>
      </c>
      <c r="G89" t="s">
        <v>65</v>
      </c>
      <c r="H89">
        <v>99999998</v>
      </c>
      <c r="I89" t="s">
        <v>53</v>
      </c>
      <c r="J89">
        <v>0</v>
      </c>
    </row>
    <row r="90" spans="1:10">
      <c r="A90">
        <v>89</v>
      </c>
      <c r="B90" t="s">
        <v>17</v>
      </c>
      <c r="C90" t="s">
        <v>18</v>
      </c>
      <c r="D90" t="s">
        <v>19</v>
      </c>
      <c r="E90" t="s">
        <v>42</v>
      </c>
      <c r="F90" t="s">
        <v>41</v>
      </c>
      <c r="G90" t="s">
        <v>65</v>
      </c>
      <c r="H90" t="s">
        <v>41</v>
      </c>
      <c r="I90" t="s">
        <v>52</v>
      </c>
      <c r="J90">
        <v>0</v>
      </c>
    </row>
    <row r="91" spans="1:10">
      <c r="A91">
        <v>90</v>
      </c>
      <c r="B91" t="s">
        <v>22</v>
      </c>
      <c r="C91" t="s">
        <v>21</v>
      </c>
      <c r="D91" t="s">
        <v>26</v>
      </c>
      <c r="E91" t="s">
        <v>48</v>
      </c>
      <c r="F91" t="s">
        <v>55</v>
      </c>
      <c r="G91" t="s">
        <v>41</v>
      </c>
      <c r="H91" t="s">
        <v>51</v>
      </c>
      <c r="I91" t="s">
        <v>59</v>
      </c>
      <c r="J91">
        <v>0</v>
      </c>
    </row>
    <row r="92" spans="1:10">
      <c r="A92">
        <v>91</v>
      </c>
      <c r="B92" t="s">
        <v>17</v>
      </c>
      <c r="C92" t="s">
        <v>18</v>
      </c>
      <c r="D92" t="s">
        <v>19</v>
      </c>
      <c r="E92" t="s">
        <v>45</v>
      </c>
      <c r="F92" t="s">
        <v>60</v>
      </c>
      <c r="G92" t="s">
        <v>65</v>
      </c>
      <c r="H92">
        <v>99999998</v>
      </c>
      <c r="I92" t="s">
        <v>59</v>
      </c>
      <c r="J92">
        <v>0</v>
      </c>
    </row>
    <row r="93" spans="1:10">
      <c r="A93">
        <v>92</v>
      </c>
      <c r="B93" t="s">
        <v>17</v>
      </c>
      <c r="C93" t="s">
        <v>18</v>
      </c>
      <c r="D93" t="s">
        <v>19</v>
      </c>
      <c r="E93" t="s">
        <v>45</v>
      </c>
      <c r="F93" t="s">
        <v>61</v>
      </c>
      <c r="G93" t="s">
        <v>49</v>
      </c>
      <c r="H93" t="s">
        <v>46</v>
      </c>
      <c r="I93" t="s">
        <v>53</v>
      </c>
      <c r="J93">
        <v>0</v>
      </c>
    </row>
    <row r="94" spans="1:10">
      <c r="A94">
        <v>93</v>
      </c>
      <c r="B94" t="s">
        <v>17</v>
      </c>
      <c r="C94" t="s">
        <v>18</v>
      </c>
      <c r="D94" t="s">
        <v>27</v>
      </c>
      <c r="E94" t="s">
        <v>45</v>
      </c>
      <c r="F94" t="s">
        <v>50</v>
      </c>
      <c r="G94" t="s">
        <v>56</v>
      </c>
      <c r="H94" t="s">
        <v>43</v>
      </c>
      <c r="I94" t="s">
        <v>52</v>
      </c>
      <c r="J94">
        <v>0</v>
      </c>
    </row>
    <row r="95" spans="1:10">
      <c r="A95">
        <v>94</v>
      </c>
      <c r="B95" t="s">
        <v>31</v>
      </c>
      <c r="C95" t="s">
        <v>23</v>
      </c>
      <c r="D95" t="s">
        <v>26</v>
      </c>
      <c r="E95" t="s">
        <v>40</v>
      </c>
      <c r="F95" t="s">
        <v>60</v>
      </c>
      <c r="G95" t="s">
        <v>49</v>
      </c>
      <c r="H95" t="s">
        <v>46</v>
      </c>
      <c r="J95">
        <v>1</v>
      </c>
    </row>
    <row r="96" spans="1:10">
      <c r="A96">
        <v>95</v>
      </c>
      <c r="B96" t="s">
        <v>22</v>
      </c>
      <c r="C96" t="s">
        <v>23</v>
      </c>
      <c r="D96" t="s">
        <v>26</v>
      </c>
      <c r="E96" t="s">
        <v>48</v>
      </c>
      <c r="F96" t="s">
        <v>41</v>
      </c>
      <c r="G96" t="s">
        <v>41</v>
      </c>
      <c r="H96">
        <v>99999998</v>
      </c>
      <c r="J96">
        <v>1</v>
      </c>
    </row>
    <row r="97" spans="1:10">
      <c r="A97">
        <v>96</v>
      </c>
      <c r="B97" t="s">
        <v>17</v>
      </c>
      <c r="C97" t="s">
        <v>18</v>
      </c>
      <c r="D97" t="s">
        <v>19</v>
      </c>
      <c r="E97" t="s">
        <v>40</v>
      </c>
      <c r="F97" t="s">
        <v>61</v>
      </c>
      <c r="G97" t="s">
        <v>56</v>
      </c>
      <c r="H97">
        <v>99999998</v>
      </c>
      <c r="I97" t="s">
        <v>47</v>
      </c>
      <c r="J97">
        <v>0</v>
      </c>
    </row>
    <row r="98" spans="1:10">
      <c r="A98">
        <v>97</v>
      </c>
      <c r="B98" t="s">
        <v>17</v>
      </c>
      <c r="C98" t="s">
        <v>18</v>
      </c>
      <c r="D98" t="s">
        <v>19</v>
      </c>
      <c r="E98" t="s">
        <v>45</v>
      </c>
      <c r="F98" t="s">
        <v>50</v>
      </c>
      <c r="G98" t="s">
        <v>56</v>
      </c>
      <c r="H98" t="s">
        <v>46</v>
      </c>
      <c r="I98" t="s">
        <v>62</v>
      </c>
      <c r="J98">
        <v>0</v>
      </c>
    </row>
    <row r="99" spans="1:10">
      <c r="A99">
        <v>98</v>
      </c>
      <c r="B99" t="s">
        <v>17</v>
      </c>
      <c r="C99" t="s">
        <v>18</v>
      </c>
      <c r="D99" t="s">
        <v>19</v>
      </c>
      <c r="E99" t="s">
        <v>45</v>
      </c>
      <c r="F99" t="s">
        <v>41</v>
      </c>
      <c r="G99" t="s">
        <v>56</v>
      </c>
      <c r="H99">
        <v>99999998</v>
      </c>
      <c r="I99" t="s">
        <v>54</v>
      </c>
      <c r="J99">
        <v>0</v>
      </c>
    </row>
    <row r="100" spans="1:10">
      <c r="A100">
        <v>99</v>
      </c>
      <c r="B100" t="s">
        <v>17</v>
      </c>
      <c r="C100" t="s">
        <v>18</v>
      </c>
      <c r="D100" t="s">
        <v>19</v>
      </c>
      <c r="E100" t="s">
        <v>45</v>
      </c>
      <c r="F100" t="s">
        <v>61</v>
      </c>
      <c r="G100" t="s">
        <v>65</v>
      </c>
      <c r="H100" t="s">
        <v>63</v>
      </c>
      <c r="I100" t="s">
        <v>59</v>
      </c>
      <c r="J100">
        <v>0</v>
      </c>
    </row>
    <row r="101" spans="1:10">
      <c r="A101">
        <v>100</v>
      </c>
      <c r="B101" t="s">
        <v>17</v>
      </c>
      <c r="C101" t="s">
        <v>21</v>
      </c>
      <c r="D101" t="s">
        <v>19</v>
      </c>
      <c r="E101" t="s">
        <v>58</v>
      </c>
      <c r="F101" t="s">
        <v>41</v>
      </c>
      <c r="G101" t="s">
        <v>41</v>
      </c>
      <c r="H101">
        <v>99999998</v>
      </c>
      <c r="I101" t="s">
        <v>47</v>
      </c>
      <c r="J101">
        <v>0</v>
      </c>
    </row>
    <row r="102" spans="1:10">
      <c r="A102">
        <v>101</v>
      </c>
      <c r="B102" t="s">
        <v>17</v>
      </c>
      <c r="C102" t="s">
        <v>18</v>
      </c>
      <c r="D102" t="s">
        <v>26</v>
      </c>
      <c r="E102" t="s">
        <v>40</v>
      </c>
      <c r="F102" t="s">
        <v>41</v>
      </c>
      <c r="G102" t="s">
        <v>41</v>
      </c>
      <c r="H102">
        <v>99999998</v>
      </c>
      <c r="I102" t="s">
        <v>41</v>
      </c>
      <c r="J102">
        <v>0</v>
      </c>
    </row>
    <row r="103" spans="1:10">
      <c r="A103">
        <v>102</v>
      </c>
      <c r="B103" t="s">
        <v>17</v>
      </c>
      <c r="C103" t="s">
        <v>18</v>
      </c>
      <c r="D103" t="s">
        <v>19</v>
      </c>
      <c r="E103" t="s">
        <v>48</v>
      </c>
      <c r="F103" t="s">
        <v>60</v>
      </c>
      <c r="G103" t="s">
        <v>49</v>
      </c>
      <c r="H103" t="s">
        <v>57</v>
      </c>
      <c r="I103" t="s">
        <v>59</v>
      </c>
      <c r="J103">
        <v>0</v>
      </c>
    </row>
    <row r="104" spans="1:10">
      <c r="A104">
        <v>103</v>
      </c>
      <c r="B104" t="s">
        <v>17</v>
      </c>
      <c r="C104" t="s">
        <v>21</v>
      </c>
      <c r="D104" t="s">
        <v>19</v>
      </c>
      <c r="E104" t="s">
        <v>42</v>
      </c>
      <c r="F104" t="s">
        <v>50</v>
      </c>
      <c r="G104" t="s">
        <v>41</v>
      </c>
      <c r="H104" t="s">
        <v>41</v>
      </c>
      <c r="I104" t="s">
        <v>53</v>
      </c>
      <c r="J104">
        <v>0</v>
      </c>
    </row>
    <row r="105" spans="1:10">
      <c r="A105">
        <v>104</v>
      </c>
      <c r="B105" t="s">
        <v>17</v>
      </c>
      <c r="C105" t="s">
        <v>18</v>
      </c>
      <c r="D105" t="s">
        <v>26</v>
      </c>
      <c r="E105" t="s">
        <v>45</v>
      </c>
      <c r="F105" t="s">
        <v>41</v>
      </c>
      <c r="G105" t="s">
        <v>49</v>
      </c>
      <c r="H105" t="s">
        <v>63</v>
      </c>
      <c r="I105" t="s">
        <v>52</v>
      </c>
      <c r="J105">
        <v>0</v>
      </c>
    </row>
    <row r="106" spans="1:10">
      <c r="A106">
        <v>105</v>
      </c>
      <c r="B106" t="s">
        <v>20</v>
      </c>
      <c r="C106" t="s">
        <v>18</v>
      </c>
      <c r="D106" t="s">
        <v>19</v>
      </c>
      <c r="E106" t="s">
        <v>42</v>
      </c>
      <c r="F106" t="s">
        <v>41</v>
      </c>
      <c r="G106" t="s">
        <v>65</v>
      </c>
      <c r="H106" t="s">
        <v>43</v>
      </c>
      <c r="I106" t="s">
        <v>47</v>
      </c>
      <c r="J106">
        <v>0</v>
      </c>
    </row>
    <row r="107" spans="1:10">
      <c r="A107">
        <v>106</v>
      </c>
      <c r="B107" t="s">
        <v>17</v>
      </c>
      <c r="C107" t="s">
        <v>18</v>
      </c>
      <c r="D107" t="s">
        <v>19</v>
      </c>
      <c r="E107" t="s">
        <v>48</v>
      </c>
      <c r="F107" t="s">
        <v>55</v>
      </c>
      <c r="G107" t="s">
        <v>49</v>
      </c>
      <c r="H107" t="s">
        <v>63</v>
      </c>
      <c r="J107">
        <v>0</v>
      </c>
    </row>
    <row r="108" spans="1:10">
      <c r="A108">
        <v>107</v>
      </c>
      <c r="B108" t="s">
        <v>17</v>
      </c>
      <c r="C108" t="s">
        <v>21</v>
      </c>
      <c r="D108" t="s">
        <v>19</v>
      </c>
      <c r="E108" t="s">
        <v>45</v>
      </c>
      <c r="F108" t="s">
        <v>41</v>
      </c>
      <c r="G108" t="s">
        <v>56</v>
      </c>
      <c r="H108" t="s">
        <v>51</v>
      </c>
      <c r="I108" t="s">
        <v>47</v>
      </c>
      <c r="J108">
        <v>0</v>
      </c>
    </row>
    <row r="109" spans="1:10">
      <c r="A109">
        <v>108</v>
      </c>
      <c r="B109" t="s">
        <v>17</v>
      </c>
      <c r="C109" t="s">
        <v>18</v>
      </c>
      <c r="D109" t="s">
        <v>26</v>
      </c>
      <c r="E109" t="s">
        <v>58</v>
      </c>
      <c r="F109">
        <v>99999999</v>
      </c>
      <c r="G109">
        <v>99999999</v>
      </c>
      <c r="H109" t="s">
        <v>51</v>
      </c>
      <c r="I109" t="s">
        <v>47</v>
      </c>
      <c r="J109">
        <v>0</v>
      </c>
    </row>
    <row r="110" spans="1:10">
      <c r="A110">
        <v>109</v>
      </c>
      <c r="B110" t="s">
        <v>17</v>
      </c>
      <c r="C110" t="s">
        <v>18</v>
      </c>
      <c r="D110" t="s">
        <v>19</v>
      </c>
      <c r="E110" t="s">
        <v>45</v>
      </c>
      <c r="F110" t="s">
        <v>50</v>
      </c>
      <c r="G110" t="s">
        <v>65</v>
      </c>
      <c r="H110" t="s">
        <v>43</v>
      </c>
      <c r="I110" t="s">
        <v>62</v>
      </c>
      <c r="J110">
        <v>0</v>
      </c>
    </row>
    <row r="111" spans="1:10">
      <c r="A111">
        <v>110</v>
      </c>
      <c r="B111" t="s">
        <v>17</v>
      </c>
      <c r="C111" t="s">
        <v>18</v>
      </c>
      <c r="D111" t="s">
        <v>19</v>
      </c>
      <c r="E111" t="s">
        <v>45</v>
      </c>
      <c r="F111" t="s">
        <v>41</v>
      </c>
      <c r="G111" t="s">
        <v>49</v>
      </c>
      <c r="H111" t="s">
        <v>43</v>
      </c>
      <c r="I111" t="s">
        <v>44</v>
      </c>
      <c r="J111">
        <v>0</v>
      </c>
    </row>
    <row r="112" spans="1:10">
      <c r="A112">
        <v>111</v>
      </c>
      <c r="B112" t="s">
        <v>17</v>
      </c>
      <c r="C112" t="s">
        <v>18</v>
      </c>
      <c r="D112" t="s">
        <v>19</v>
      </c>
      <c r="E112" t="s">
        <v>48</v>
      </c>
      <c r="F112" t="s">
        <v>60</v>
      </c>
      <c r="G112" t="s">
        <v>64</v>
      </c>
      <c r="H112">
        <v>99999998</v>
      </c>
      <c r="I112" t="s">
        <v>59</v>
      </c>
      <c r="J112">
        <v>0</v>
      </c>
    </row>
    <row r="113" spans="1:10">
      <c r="A113">
        <v>112</v>
      </c>
      <c r="B113" t="s">
        <v>17</v>
      </c>
      <c r="C113" t="s">
        <v>18</v>
      </c>
      <c r="D113" t="s">
        <v>19</v>
      </c>
      <c r="E113" t="s">
        <v>48</v>
      </c>
      <c r="F113" t="s">
        <v>41</v>
      </c>
      <c r="G113" t="s">
        <v>49</v>
      </c>
      <c r="H113" t="s">
        <v>51</v>
      </c>
      <c r="I113" t="s">
        <v>59</v>
      </c>
      <c r="J113">
        <v>0</v>
      </c>
    </row>
    <row r="114" spans="1:10">
      <c r="A114">
        <v>113</v>
      </c>
      <c r="B114" t="s">
        <v>20</v>
      </c>
      <c r="C114" t="s">
        <v>21</v>
      </c>
      <c r="D114" t="s">
        <v>26</v>
      </c>
      <c r="E114" t="s">
        <v>40</v>
      </c>
      <c r="F114" t="s">
        <v>41</v>
      </c>
      <c r="G114" t="s">
        <v>41</v>
      </c>
      <c r="H114">
        <v>99999998</v>
      </c>
      <c r="I114" t="s">
        <v>54</v>
      </c>
      <c r="J114">
        <v>0</v>
      </c>
    </row>
    <row r="115" spans="1:10">
      <c r="A115">
        <v>114</v>
      </c>
      <c r="B115" t="s">
        <v>17</v>
      </c>
      <c r="C115" t="s">
        <v>18</v>
      </c>
      <c r="D115" t="s">
        <v>19</v>
      </c>
      <c r="E115" t="s">
        <v>40</v>
      </c>
      <c r="F115" t="s">
        <v>60</v>
      </c>
      <c r="G115" t="s">
        <v>65</v>
      </c>
      <c r="H115">
        <v>99999998</v>
      </c>
      <c r="I115" t="s">
        <v>52</v>
      </c>
      <c r="J115">
        <v>0</v>
      </c>
    </row>
    <row r="116" spans="1:10">
      <c r="A116">
        <v>115</v>
      </c>
      <c r="B116" t="s">
        <v>17</v>
      </c>
      <c r="C116" t="s">
        <v>18</v>
      </c>
      <c r="D116" t="s">
        <v>26</v>
      </c>
      <c r="E116" t="s">
        <v>40</v>
      </c>
      <c r="F116" t="s">
        <v>41</v>
      </c>
      <c r="G116" t="s">
        <v>41</v>
      </c>
      <c r="H116">
        <v>99999998</v>
      </c>
      <c r="I116" t="s">
        <v>41</v>
      </c>
      <c r="J116">
        <v>0</v>
      </c>
    </row>
    <row r="117" spans="1:10">
      <c r="A117">
        <v>116</v>
      </c>
      <c r="B117" t="s">
        <v>20</v>
      </c>
      <c r="C117" t="s">
        <v>18</v>
      </c>
      <c r="D117" t="s">
        <v>19</v>
      </c>
      <c r="E117" t="s">
        <v>58</v>
      </c>
      <c r="F117" t="s">
        <v>55</v>
      </c>
      <c r="G117" t="s">
        <v>56</v>
      </c>
      <c r="H117" t="s">
        <v>51</v>
      </c>
      <c r="I117" t="s">
        <v>62</v>
      </c>
      <c r="J117">
        <v>0</v>
      </c>
    </row>
    <row r="118" spans="1:10">
      <c r="A118">
        <v>117</v>
      </c>
      <c r="B118" t="s">
        <v>17</v>
      </c>
      <c r="C118" t="s">
        <v>18</v>
      </c>
      <c r="D118" t="s">
        <v>32</v>
      </c>
      <c r="E118" t="s">
        <v>45</v>
      </c>
      <c r="F118" t="s">
        <v>41</v>
      </c>
      <c r="G118" t="s">
        <v>41</v>
      </c>
      <c r="H118" t="s">
        <v>51</v>
      </c>
      <c r="I118" t="s">
        <v>52</v>
      </c>
      <c r="J118">
        <v>1</v>
      </c>
    </row>
    <row r="119" spans="1:10">
      <c r="A119">
        <v>118</v>
      </c>
      <c r="B119" t="s">
        <v>17</v>
      </c>
      <c r="C119" t="s">
        <v>18</v>
      </c>
      <c r="D119" t="s">
        <v>26</v>
      </c>
      <c r="E119" t="s">
        <v>58</v>
      </c>
      <c r="F119" t="s">
        <v>41</v>
      </c>
      <c r="G119" t="s">
        <v>64</v>
      </c>
      <c r="H119">
        <v>99999998</v>
      </c>
      <c r="I119" t="s">
        <v>54</v>
      </c>
      <c r="J119">
        <v>0</v>
      </c>
    </row>
    <row r="120" spans="1:10">
      <c r="A120">
        <v>119</v>
      </c>
      <c r="B120" t="s">
        <v>17</v>
      </c>
      <c r="C120" t="s">
        <v>23</v>
      </c>
      <c r="D120" t="s">
        <v>32</v>
      </c>
      <c r="E120" t="s">
        <v>45</v>
      </c>
      <c r="F120" t="s">
        <v>41</v>
      </c>
      <c r="G120" t="s">
        <v>41</v>
      </c>
      <c r="H120" t="s">
        <v>51</v>
      </c>
      <c r="I120" t="s">
        <v>62</v>
      </c>
      <c r="J120">
        <v>0</v>
      </c>
    </row>
    <row r="121" spans="1:10">
      <c r="A121">
        <v>120</v>
      </c>
      <c r="B121" t="s">
        <v>17</v>
      </c>
      <c r="C121" t="s">
        <v>18</v>
      </c>
      <c r="D121" t="s">
        <v>19</v>
      </c>
      <c r="E121" t="s">
        <v>48</v>
      </c>
      <c r="F121" t="s">
        <v>60</v>
      </c>
      <c r="G121" t="s">
        <v>49</v>
      </c>
      <c r="H121" t="s">
        <v>51</v>
      </c>
      <c r="I121" t="s">
        <v>53</v>
      </c>
      <c r="J121">
        <v>0</v>
      </c>
    </row>
    <row r="122" spans="1:10">
      <c r="A122">
        <v>121</v>
      </c>
      <c r="B122" t="s">
        <v>17</v>
      </c>
      <c r="C122" t="s">
        <v>18</v>
      </c>
      <c r="D122" t="s">
        <v>19</v>
      </c>
      <c r="E122" t="s">
        <v>40</v>
      </c>
      <c r="F122" t="s">
        <v>41</v>
      </c>
      <c r="G122" t="s">
        <v>41</v>
      </c>
      <c r="H122">
        <v>99999998</v>
      </c>
      <c r="I122" t="s">
        <v>41</v>
      </c>
      <c r="J122">
        <v>0</v>
      </c>
    </row>
    <row r="123" spans="1:10">
      <c r="A123">
        <v>122</v>
      </c>
      <c r="B123" t="s">
        <v>17</v>
      </c>
      <c r="C123" t="s">
        <v>18</v>
      </c>
      <c r="D123" t="s">
        <v>19</v>
      </c>
      <c r="E123" t="s">
        <v>40</v>
      </c>
      <c r="F123" t="s">
        <v>41</v>
      </c>
      <c r="G123" t="s">
        <v>41</v>
      </c>
      <c r="H123">
        <v>99999998</v>
      </c>
      <c r="I123" t="s">
        <v>47</v>
      </c>
      <c r="J123">
        <v>0</v>
      </c>
    </row>
    <row r="124" spans="1:10">
      <c r="A124">
        <v>123</v>
      </c>
      <c r="B124" t="s">
        <v>17</v>
      </c>
      <c r="C124" t="s">
        <v>18</v>
      </c>
      <c r="D124" t="s">
        <v>19</v>
      </c>
      <c r="E124" t="s">
        <v>45</v>
      </c>
      <c r="F124" t="s">
        <v>61</v>
      </c>
      <c r="G124" t="s">
        <v>49</v>
      </c>
      <c r="H124" t="s">
        <v>46</v>
      </c>
      <c r="I124" t="s">
        <v>59</v>
      </c>
      <c r="J124">
        <v>0</v>
      </c>
    </row>
    <row r="125" spans="1:10">
      <c r="A125">
        <v>124</v>
      </c>
      <c r="B125" t="s">
        <v>22</v>
      </c>
      <c r="C125" t="s">
        <v>23</v>
      </c>
      <c r="D125" t="s">
        <v>35</v>
      </c>
      <c r="E125" t="s">
        <v>48</v>
      </c>
      <c r="F125" t="s">
        <v>41</v>
      </c>
      <c r="G125" t="s">
        <v>41</v>
      </c>
      <c r="H125">
        <v>99999998</v>
      </c>
      <c r="I125" t="s">
        <v>44</v>
      </c>
      <c r="J125">
        <v>1</v>
      </c>
    </row>
    <row r="126" spans="1:10">
      <c r="A126">
        <v>125</v>
      </c>
      <c r="B126" t="s">
        <v>17</v>
      </c>
      <c r="C126" t="s">
        <v>21</v>
      </c>
      <c r="D126" t="s">
        <v>19</v>
      </c>
      <c r="E126" t="s">
        <v>40</v>
      </c>
      <c r="F126" t="s">
        <v>41</v>
      </c>
      <c r="G126" t="s">
        <v>64</v>
      </c>
      <c r="H126">
        <v>99999998</v>
      </c>
      <c r="I126" t="s">
        <v>44</v>
      </c>
      <c r="J126">
        <v>0</v>
      </c>
    </row>
    <row r="127" spans="1:10">
      <c r="A127">
        <v>126</v>
      </c>
      <c r="B127" t="s">
        <v>17</v>
      </c>
      <c r="C127" t="s">
        <v>18</v>
      </c>
      <c r="D127" t="s">
        <v>24</v>
      </c>
      <c r="E127" t="s">
        <v>48</v>
      </c>
      <c r="F127" t="s">
        <v>61</v>
      </c>
      <c r="G127" t="s">
        <v>41</v>
      </c>
      <c r="H127" t="s">
        <v>57</v>
      </c>
      <c r="I127" t="s">
        <v>59</v>
      </c>
      <c r="J127">
        <v>0</v>
      </c>
    </row>
    <row r="128" spans="1:10">
      <c r="A128">
        <v>127</v>
      </c>
      <c r="B128" t="s">
        <v>22</v>
      </c>
      <c r="C128" t="s">
        <v>25</v>
      </c>
      <c r="D128" t="s">
        <v>35</v>
      </c>
      <c r="E128" t="s">
        <v>48</v>
      </c>
      <c r="F128" t="s">
        <v>61</v>
      </c>
      <c r="G128" t="s">
        <v>49</v>
      </c>
      <c r="H128" t="s">
        <v>63</v>
      </c>
      <c r="J128">
        <v>1</v>
      </c>
    </row>
    <row r="129" spans="1:10">
      <c r="A129">
        <v>128</v>
      </c>
      <c r="B129" t="s">
        <v>31</v>
      </c>
      <c r="C129" t="s">
        <v>25</v>
      </c>
      <c r="D129" t="s">
        <v>24</v>
      </c>
      <c r="E129" t="s">
        <v>45</v>
      </c>
      <c r="F129" t="s">
        <v>41</v>
      </c>
      <c r="G129" t="s">
        <v>41</v>
      </c>
      <c r="H129" t="s">
        <v>43</v>
      </c>
      <c r="I129" t="s">
        <v>41</v>
      </c>
      <c r="J129">
        <v>0</v>
      </c>
    </row>
    <row r="130" spans="1:10">
      <c r="A130">
        <v>129</v>
      </c>
      <c r="B130" t="s">
        <v>17</v>
      </c>
      <c r="C130" t="s">
        <v>18</v>
      </c>
      <c r="D130" t="s">
        <v>19</v>
      </c>
      <c r="E130" t="s">
        <v>40</v>
      </c>
      <c r="F130" t="s">
        <v>41</v>
      </c>
      <c r="G130">
        <v>99999999</v>
      </c>
      <c r="H130" t="s">
        <v>66</v>
      </c>
      <c r="I130" t="s">
        <v>41</v>
      </c>
      <c r="J130">
        <v>0</v>
      </c>
    </row>
    <row r="131" spans="1:10">
      <c r="A131">
        <v>130</v>
      </c>
      <c r="B131" t="s">
        <v>17</v>
      </c>
      <c r="C131" t="s">
        <v>18</v>
      </c>
      <c r="D131" t="s">
        <v>19</v>
      </c>
      <c r="E131" t="s">
        <v>45</v>
      </c>
      <c r="F131" t="s">
        <v>61</v>
      </c>
      <c r="G131" t="s">
        <v>41</v>
      </c>
      <c r="H131" t="s">
        <v>46</v>
      </c>
      <c r="I131" t="s">
        <v>53</v>
      </c>
      <c r="J131">
        <v>0</v>
      </c>
    </row>
    <row r="132" spans="1:10">
      <c r="A132">
        <v>131</v>
      </c>
      <c r="B132" t="s">
        <v>17</v>
      </c>
      <c r="C132" t="s">
        <v>18</v>
      </c>
      <c r="D132" t="s">
        <v>19</v>
      </c>
      <c r="E132" t="s">
        <v>45</v>
      </c>
      <c r="F132" t="s">
        <v>41</v>
      </c>
      <c r="G132" t="s">
        <v>56</v>
      </c>
      <c r="H132" t="s">
        <v>63</v>
      </c>
      <c r="I132" t="s">
        <v>52</v>
      </c>
      <c r="J132">
        <v>0</v>
      </c>
    </row>
    <row r="133" spans="1:10">
      <c r="A133">
        <v>132</v>
      </c>
      <c r="B133" t="s">
        <v>17</v>
      </c>
      <c r="C133" t="s">
        <v>18</v>
      </c>
      <c r="D133" t="s">
        <v>19</v>
      </c>
      <c r="E133" t="s">
        <v>42</v>
      </c>
      <c r="F133" t="s">
        <v>41</v>
      </c>
      <c r="G133" t="s">
        <v>49</v>
      </c>
      <c r="H133" t="s">
        <v>41</v>
      </c>
      <c r="I133" t="s">
        <v>62</v>
      </c>
      <c r="J133">
        <v>0</v>
      </c>
    </row>
    <row r="134" spans="1:10">
      <c r="A134">
        <v>133</v>
      </c>
      <c r="B134" t="s">
        <v>17</v>
      </c>
      <c r="C134" t="s">
        <v>18</v>
      </c>
      <c r="D134" t="s">
        <v>27</v>
      </c>
      <c r="E134" t="s">
        <v>45</v>
      </c>
      <c r="F134" t="s">
        <v>41</v>
      </c>
      <c r="G134" t="s">
        <v>56</v>
      </c>
      <c r="H134" t="s">
        <v>43</v>
      </c>
      <c r="I134" t="s">
        <v>41</v>
      </c>
      <c r="J134">
        <v>0</v>
      </c>
    </row>
    <row r="135" spans="1:10">
      <c r="A135">
        <v>134</v>
      </c>
      <c r="B135" t="s">
        <v>17</v>
      </c>
      <c r="C135" t="s">
        <v>18</v>
      </c>
      <c r="D135" t="s">
        <v>19</v>
      </c>
      <c r="E135" t="s">
        <v>40</v>
      </c>
      <c r="F135" t="s">
        <v>41</v>
      </c>
      <c r="G135" t="s">
        <v>41</v>
      </c>
      <c r="I135" t="s">
        <v>41</v>
      </c>
      <c r="J135">
        <v>0</v>
      </c>
    </row>
    <row r="136" spans="1:10">
      <c r="A136">
        <v>135</v>
      </c>
      <c r="B136" t="s">
        <v>17</v>
      </c>
      <c r="C136" t="s">
        <v>18</v>
      </c>
      <c r="D136" t="s">
        <v>19</v>
      </c>
      <c r="E136" t="s">
        <v>40</v>
      </c>
      <c r="F136" t="s">
        <v>41</v>
      </c>
      <c r="G136" t="s">
        <v>49</v>
      </c>
      <c r="H136">
        <v>99999998</v>
      </c>
      <c r="I136" t="s">
        <v>41</v>
      </c>
      <c r="J136">
        <v>0</v>
      </c>
    </row>
    <row r="137" spans="1:10">
      <c r="A137">
        <v>136</v>
      </c>
      <c r="B137" t="s">
        <v>17</v>
      </c>
      <c r="C137" t="s">
        <v>25</v>
      </c>
      <c r="D137" t="s">
        <v>26</v>
      </c>
      <c r="E137" t="s">
        <v>58</v>
      </c>
      <c r="F137" t="s">
        <v>41</v>
      </c>
      <c r="G137" t="s">
        <v>65</v>
      </c>
      <c r="H137">
        <v>99999998</v>
      </c>
      <c r="I137" t="s">
        <v>41</v>
      </c>
      <c r="J137">
        <v>1</v>
      </c>
    </row>
    <row r="138" spans="1:10">
      <c r="A138">
        <v>137</v>
      </c>
      <c r="B138" t="s">
        <v>17</v>
      </c>
      <c r="C138" t="s">
        <v>25</v>
      </c>
      <c r="D138" t="s">
        <v>19</v>
      </c>
      <c r="E138" t="s">
        <v>40</v>
      </c>
      <c r="F138" t="s">
        <v>41</v>
      </c>
      <c r="G138" t="s">
        <v>41</v>
      </c>
      <c r="H138" t="s">
        <v>41</v>
      </c>
      <c r="I138" t="s">
        <v>54</v>
      </c>
      <c r="J138">
        <v>1</v>
      </c>
    </row>
    <row r="139" spans="1:10">
      <c r="A139">
        <v>138</v>
      </c>
      <c r="B139" t="s">
        <v>17</v>
      </c>
      <c r="C139" t="s">
        <v>18</v>
      </c>
      <c r="D139" t="s">
        <v>19</v>
      </c>
      <c r="E139" t="s">
        <v>48</v>
      </c>
      <c r="F139" t="s">
        <v>41</v>
      </c>
      <c r="G139" t="s">
        <v>49</v>
      </c>
      <c r="H139">
        <v>99999998</v>
      </c>
      <c r="I139" t="s">
        <v>44</v>
      </c>
      <c r="J139">
        <v>1</v>
      </c>
    </row>
    <row r="140" spans="1:10">
      <c r="A140">
        <v>139</v>
      </c>
      <c r="B140" t="s">
        <v>17</v>
      </c>
      <c r="C140" t="s">
        <v>18</v>
      </c>
      <c r="D140" t="s">
        <v>19</v>
      </c>
      <c r="E140" t="s">
        <v>45</v>
      </c>
      <c r="F140" t="s">
        <v>41</v>
      </c>
      <c r="G140" t="s">
        <v>65</v>
      </c>
      <c r="H140" t="s">
        <v>57</v>
      </c>
      <c r="I140" t="s">
        <v>59</v>
      </c>
      <c r="J140">
        <v>1</v>
      </c>
    </row>
    <row r="141" spans="1:10">
      <c r="A141">
        <v>140</v>
      </c>
      <c r="B141" t="s">
        <v>17</v>
      </c>
      <c r="C141" t="s">
        <v>18</v>
      </c>
      <c r="D141" t="s">
        <v>19</v>
      </c>
      <c r="E141" t="s">
        <v>45</v>
      </c>
      <c r="F141" t="s">
        <v>41</v>
      </c>
      <c r="G141" t="s">
        <v>64</v>
      </c>
      <c r="H141" t="s">
        <v>46</v>
      </c>
      <c r="I141" t="s">
        <v>62</v>
      </c>
      <c r="J141">
        <v>0</v>
      </c>
    </row>
    <row r="142" spans="1:10">
      <c r="A142">
        <v>141</v>
      </c>
      <c r="B142" t="s">
        <v>17</v>
      </c>
      <c r="C142" t="s">
        <v>23</v>
      </c>
      <c r="D142" t="s">
        <v>19</v>
      </c>
      <c r="E142" t="s">
        <v>58</v>
      </c>
      <c r="F142" t="s">
        <v>41</v>
      </c>
      <c r="G142" t="s">
        <v>56</v>
      </c>
      <c r="H142">
        <v>99999998</v>
      </c>
      <c r="I142" t="s">
        <v>44</v>
      </c>
      <c r="J142">
        <v>0</v>
      </c>
    </row>
    <row r="143" spans="1:10">
      <c r="A143">
        <v>142</v>
      </c>
      <c r="B143" t="s">
        <v>17</v>
      </c>
      <c r="C143" t="s">
        <v>18</v>
      </c>
      <c r="D143" t="s">
        <v>19</v>
      </c>
      <c r="E143" t="s">
        <v>48</v>
      </c>
      <c r="F143" t="s">
        <v>55</v>
      </c>
      <c r="G143" t="s">
        <v>64</v>
      </c>
      <c r="H143" t="s">
        <v>63</v>
      </c>
      <c r="J143">
        <v>0</v>
      </c>
    </row>
    <row r="144" spans="1:10">
      <c r="A144">
        <v>143</v>
      </c>
      <c r="B144" t="s">
        <v>17</v>
      </c>
      <c r="C144" t="s">
        <v>18</v>
      </c>
      <c r="D144" t="s">
        <v>30</v>
      </c>
      <c r="E144" t="s">
        <v>48</v>
      </c>
      <c r="F144" t="s">
        <v>41</v>
      </c>
      <c r="G144" t="s">
        <v>64</v>
      </c>
      <c r="H144" t="s">
        <v>46</v>
      </c>
      <c r="I144" t="s">
        <v>41</v>
      </c>
      <c r="J144">
        <v>1</v>
      </c>
    </row>
    <row r="145" spans="1:10">
      <c r="A145">
        <v>144</v>
      </c>
      <c r="B145" t="s">
        <v>20</v>
      </c>
      <c r="C145" t="s">
        <v>21</v>
      </c>
      <c r="D145" t="s">
        <v>19</v>
      </c>
      <c r="E145" t="s">
        <v>42</v>
      </c>
      <c r="F145" t="s">
        <v>41</v>
      </c>
      <c r="G145" t="s">
        <v>64</v>
      </c>
      <c r="H145" t="s">
        <v>43</v>
      </c>
      <c r="I145" t="s">
        <v>52</v>
      </c>
      <c r="J145">
        <v>0</v>
      </c>
    </row>
    <row r="146" spans="1:10">
      <c r="A146">
        <v>145</v>
      </c>
      <c r="B146" t="s">
        <v>17</v>
      </c>
      <c r="C146" t="s">
        <v>18</v>
      </c>
      <c r="D146" t="s">
        <v>19</v>
      </c>
      <c r="E146" t="s">
        <v>58</v>
      </c>
      <c r="F146" t="s">
        <v>61</v>
      </c>
      <c r="G146" t="s">
        <v>65</v>
      </c>
      <c r="H146" t="s">
        <v>43</v>
      </c>
      <c r="I146" t="s">
        <v>52</v>
      </c>
      <c r="J146">
        <v>0</v>
      </c>
    </row>
    <row r="147" spans="1:10">
      <c r="A147">
        <v>146</v>
      </c>
      <c r="B147" t="s">
        <v>17</v>
      </c>
      <c r="C147" t="s">
        <v>18</v>
      </c>
      <c r="D147" t="s">
        <v>19</v>
      </c>
      <c r="E147" t="s">
        <v>48</v>
      </c>
      <c r="F147" t="s">
        <v>50</v>
      </c>
      <c r="G147" t="s">
        <v>49</v>
      </c>
      <c r="H147">
        <v>99999998</v>
      </c>
      <c r="I147" t="s">
        <v>59</v>
      </c>
      <c r="J147">
        <v>0</v>
      </c>
    </row>
    <row r="148" spans="1:10">
      <c r="A148">
        <v>147</v>
      </c>
      <c r="B148" t="s">
        <v>17</v>
      </c>
      <c r="C148" t="s">
        <v>18</v>
      </c>
      <c r="D148" t="s">
        <v>19</v>
      </c>
      <c r="E148" t="s">
        <v>40</v>
      </c>
      <c r="F148" t="s">
        <v>41</v>
      </c>
      <c r="G148" t="s">
        <v>41</v>
      </c>
      <c r="H148">
        <v>99999998</v>
      </c>
      <c r="I148" t="s">
        <v>41</v>
      </c>
      <c r="J148">
        <v>0</v>
      </c>
    </row>
    <row r="149" spans="1:10">
      <c r="A149">
        <v>148</v>
      </c>
      <c r="B149" t="s">
        <v>17</v>
      </c>
      <c r="C149" t="s">
        <v>18</v>
      </c>
      <c r="D149" t="s">
        <v>19</v>
      </c>
      <c r="E149" t="s">
        <v>40</v>
      </c>
      <c r="F149" t="s">
        <v>55</v>
      </c>
      <c r="G149" t="s">
        <v>41</v>
      </c>
      <c r="H149">
        <v>99999998</v>
      </c>
      <c r="I149" t="s">
        <v>62</v>
      </c>
      <c r="J149">
        <v>0</v>
      </c>
    </row>
    <row r="150" spans="1:10">
      <c r="A150">
        <v>149</v>
      </c>
      <c r="B150" t="s">
        <v>17</v>
      </c>
      <c r="C150" t="s">
        <v>18</v>
      </c>
      <c r="D150" t="s">
        <v>19</v>
      </c>
      <c r="E150" t="s">
        <v>45</v>
      </c>
      <c r="F150" t="s">
        <v>60</v>
      </c>
      <c r="G150" t="s">
        <v>41</v>
      </c>
      <c r="H150" t="s">
        <v>43</v>
      </c>
      <c r="I150" t="s">
        <v>59</v>
      </c>
      <c r="J150">
        <v>0</v>
      </c>
    </row>
    <row r="151" spans="1:10">
      <c r="A151">
        <v>150</v>
      </c>
      <c r="B151" t="s">
        <v>17</v>
      </c>
      <c r="C151" t="s">
        <v>18</v>
      </c>
      <c r="D151" t="s">
        <v>19</v>
      </c>
      <c r="E151" t="s">
        <v>48</v>
      </c>
      <c r="F151" t="s">
        <v>41</v>
      </c>
      <c r="G151" t="s">
        <v>41</v>
      </c>
      <c r="H151" t="s">
        <v>43</v>
      </c>
      <c r="I151" t="s">
        <v>52</v>
      </c>
      <c r="J151">
        <v>0</v>
      </c>
    </row>
    <row r="152" spans="1:10">
      <c r="A152">
        <v>151</v>
      </c>
      <c r="B152" t="s">
        <v>17</v>
      </c>
      <c r="C152" t="s">
        <v>18</v>
      </c>
      <c r="D152" t="s">
        <v>19</v>
      </c>
      <c r="E152" t="s">
        <v>45</v>
      </c>
      <c r="F152" t="s">
        <v>41</v>
      </c>
      <c r="G152" t="s">
        <v>56</v>
      </c>
      <c r="H152">
        <v>99999998</v>
      </c>
      <c r="I152" t="s">
        <v>54</v>
      </c>
      <c r="J152">
        <v>0</v>
      </c>
    </row>
    <row r="153" spans="1:10">
      <c r="A153">
        <v>152</v>
      </c>
      <c r="B153" t="s">
        <v>31</v>
      </c>
      <c r="C153" t="s">
        <v>18</v>
      </c>
      <c r="D153" t="s">
        <v>32</v>
      </c>
      <c r="E153" t="s">
        <v>40</v>
      </c>
      <c r="F153" t="s">
        <v>60</v>
      </c>
      <c r="G153" t="s">
        <v>49</v>
      </c>
      <c r="H153" t="s">
        <v>46</v>
      </c>
      <c r="J153">
        <v>1</v>
      </c>
    </row>
    <row r="154" spans="1:10">
      <c r="A154">
        <v>153</v>
      </c>
      <c r="B154" t="s">
        <v>17</v>
      </c>
      <c r="C154" t="s">
        <v>18</v>
      </c>
      <c r="D154" t="s">
        <v>19</v>
      </c>
      <c r="E154" t="s">
        <v>40</v>
      </c>
      <c r="F154" t="s">
        <v>60</v>
      </c>
      <c r="G154" t="s">
        <v>49</v>
      </c>
      <c r="H154">
        <v>99999998</v>
      </c>
      <c r="I154" t="s">
        <v>62</v>
      </c>
      <c r="J154">
        <v>0</v>
      </c>
    </row>
    <row r="155" spans="1:10">
      <c r="A155">
        <v>154</v>
      </c>
      <c r="B155" t="s">
        <v>17</v>
      </c>
      <c r="C155" t="s">
        <v>18</v>
      </c>
      <c r="D155" t="s">
        <v>19</v>
      </c>
      <c r="E155" t="s">
        <v>45</v>
      </c>
      <c r="F155" t="s">
        <v>41</v>
      </c>
      <c r="G155" t="s">
        <v>49</v>
      </c>
      <c r="H155" t="s">
        <v>43</v>
      </c>
      <c r="I155" t="s">
        <v>41</v>
      </c>
      <c r="J155">
        <v>0</v>
      </c>
    </row>
    <row r="156" spans="1:10">
      <c r="A156">
        <v>155</v>
      </c>
      <c r="B156" t="s">
        <v>17</v>
      </c>
      <c r="C156" t="s">
        <v>18</v>
      </c>
      <c r="D156" t="s">
        <v>19</v>
      </c>
      <c r="E156" t="s">
        <v>45</v>
      </c>
      <c r="F156" t="s">
        <v>61</v>
      </c>
      <c r="G156" t="s">
        <v>64</v>
      </c>
      <c r="H156" t="s">
        <v>43</v>
      </c>
      <c r="I156" t="s">
        <v>62</v>
      </c>
      <c r="J156">
        <v>0</v>
      </c>
    </row>
    <row r="157" spans="1:10">
      <c r="A157">
        <v>156</v>
      </c>
      <c r="B157" t="s">
        <v>20</v>
      </c>
      <c r="C157" t="s">
        <v>18</v>
      </c>
      <c r="D157" t="s">
        <v>19</v>
      </c>
      <c r="E157" t="s">
        <v>40</v>
      </c>
      <c r="F157" t="s">
        <v>41</v>
      </c>
      <c r="G157" t="s">
        <v>56</v>
      </c>
      <c r="H157">
        <v>99999998</v>
      </c>
      <c r="I157" t="s">
        <v>41</v>
      </c>
      <c r="J157">
        <v>0</v>
      </c>
    </row>
    <row r="158" spans="1:10">
      <c r="A158">
        <v>157</v>
      </c>
      <c r="B158" t="s">
        <v>17</v>
      </c>
      <c r="C158" t="s">
        <v>21</v>
      </c>
      <c r="D158" t="s">
        <v>19</v>
      </c>
      <c r="E158" t="s">
        <v>45</v>
      </c>
      <c r="F158" t="s">
        <v>41</v>
      </c>
      <c r="G158" t="s">
        <v>56</v>
      </c>
      <c r="H158" t="s">
        <v>63</v>
      </c>
      <c r="I158" t="s">
        <v>47</v>
      </c>
      <c r="J158">
        <v>0</v>
      </c>
    </row>
    <row r="159" spans="1:10">
      <c r="A159">
        <v>158</v>
      </c>
      <c r="B159" t="s">
        <v>17</v>
      </c>
      <c r="C159" t="s">
        <v>18</v>
      </c>
      <c r="D159" t="s">
        <v>19</v>
      </c>
      <c r="E159" t="s">
        <v>48</v>
      </c>
      <c r="F159" t="s">
        <v>60</v>
      </c>
      <c r="G159" t="s">
        <v>41</v>
      </c>
      <c r="H159" t="s">
        <v>57</v>
      </c>
      <c r="I159" t="s">
        <v>52</v>
      </c>
      <c r="J159">
        <v>0</v>
      </c>
    </row>
    <row r="160" spans="1:10">
      <c r="A160">
        <v>159</v>
      </c>
      <c r="B160" t="s">
        <v>17</v>
      </c>
      <c r="C160" t="s">
        <v>18</v>
      </c>
      <c r="D160" t="s">
        <v>19</v>
      </c>
      <c r="E160" t="s">
        <v>42</v>
      </c>
      <c r="F160" t="s">
        <v>60</v>
      </c>
      <c r="G160" t="s">
        <v>56</v>
      </c>
      <c r="H160" t="s">
        <v>63</v>
      </c>
      <c r="I160" t="s">
        <v>62</v>
      </c>
      <c r="J160">
        <v>0</v>
      </c>
    </row>
    <row r="161" spans="1:10">
      <c r="A161">
        <v>160</v>
      </c>
      <c r="B161" t="s">
        <v>20</v>
      </c>
      <c r="C161" t="s">
        <v>21</v>
      </c>
      <c r="D161" t="s">
        <v>32</v>
      </c>
      <c r="E161" t="s">
        <v>58</v>
      </c>
      <c r="F161" t="s">
        <v>55</v>
      </c>
      <c r="G161" t="s">
        <v>65</v>
      </c>
      <c r="H161" t="s">
        <v>51</v>
      </c>
      <c r="I161" t="s">
        <v>52</v>
      </c>
      <c r="J161">
        <v>0</v>
      </c>
    </row>
    <row r="162" spans="1:10">
      <c r="A162">
        <v>161</v>
      </c>
      <c r="B162" t="s">
        <v>17</v>
      </c>
      <c r="C162" t="s">
        <v>18</v>
      </c>
      <c r="D162" t="s">
        <v>19</v>
      </c>
      <c r="E162" t="s">
        <v>58</v>
      </c>
      <c r="F162" t="s">
        <v>41</v>
      </c>
      <c r="G162" t="s">
        <v>41</v>
      </c>
      <c r="H162" t="s">
        <v>51</v>
      </c>
      <c r="I162" t="s">
        <v>47</v>
      </c>
      <c r="J162">
        <v>0</v>
      </c>
    </row>
    <row r="163" spans="1:10">
      <c r="A163">
        <v>162</v>
      </c>
      <c r="B163" t="s">
        <v>17</v>
      </c>
      <c r="C163" t="s">
        <v>23</v>
      </c>
      <c r="D163" t="s">
        <v>32</v>
      </c>
      <c r="E163" t="s">
        <v>45</v>
      </c>
      <c r="F163" t="s">
        <v>55</v>
      </c>
      <c r="G163" t="s">
        <v>41</v>
      </c>
      <c r="H163" t="s">
        <v>51</v>
      </c>
      <c r="I163" t="s">
        <v>53</v>
      </c>
      <c r="J163">
        <v>0</v>
      </c>
    </row>
    <row r="164" spans="1:10">
      <c r="A164">
        <v>163</v>
      </c>
      <c r="B164" t="s">
        <v>36</v>
      </c>
      <c r="C164" t="e">
        <v>#N/A</v>
      </c>
      <c r="D164" t="s">
        <v>26</v>
      </c>
      <c r="E164" t="s">
        <v>40</v>
      </c>
      <c r="F164" t="s">
        <v>60</v>
      </c>
      <c r="G164" t="s">
        <v>41</v>
      </c>
      <c r="J164">
        <v>0</v>
      </c>
    </row>
    <row r="165" spans="1:10">
      <c r="A165">
        <v>164</v>
      </c>
      <c r="B165" t="s">
        <v>36</v>
      </c>
      <c r="C165" t="e">
        <v>#N/A</v>
      </c>
      <c r="D165" t="s">
        <v>19</v>
      </c>
      <c r="E165" t="s">
        <v>42</v>
      </c>
      <c r="F165" t="s">
        <v>61</v>
      </c>
      <c r="G165" t="s">
        <v>65</v>
      </c>
      <c r="I165" t="s">
        <v>62</v>
      </c>
      <c r="J165">
        <v>0</v>
      </c>
    </row>
    <row r="166" spans="1:10">
      <c r="A166">
        <v>165</v>
      </c>
      <c r="B166" t="s">
        <v>36</v>
      </c>
      <c r="C166" t="e">
        <v>#N/A</v>
      </c>
      <c r="D166" t="s">
        <v>24</v>
      </c>
      <c r="E166" t="s">
        <v>48</v>
      </c>
      <c r="F166" t="s">
        <v>61</v>
      </c>
      <c r="G166" t="s">
        <v>41</v>
      </c>
      <c r="I166" t="s">
        <v>59</v>
      </c>
      <c r="J166">
        <v>0</v>
      </c>
    </row>
    <row r="167" spans="1:10">
      <c r="A167">
        <v>166</v>
      </c>
      <c r="B167" t="s">
        <v>36</v>
      </c>
      <c r="C167" t="e">
        <v>#N/A</v>
      </c>
      <c r="D167" t="s">
        <v>19</v>
      </c>
      <c r="E167" t="s">
        <v>40</v>
      </c>
      <c r="F167" t="s">
        <v>41</v>
      </c>
      <c r="G167" t="s">
        <v>41</v>
      </c>
      <c r="I167" t="s">
        <v>44</v>
      </c>
      <c r="J167">
        <v>0</v>
      </c>
    </row>
    <row r="168" spans="1:10">
      <c r="A168">
        <v>167</v>
      </c>
      <c r="B168" t="s">
        <v>36</v>
      </c>
      <c r="C168" t="e">
        <v>#N/A</v>
      </c>
      <c r="D168" t="s">
        <v>19</v>
      </c>
      <c r="E168" t="s">
        <v>45</v>
      </c>
      <c r="F168" t="s">
        <v>60</v>
      </c>
      <c r="G168" t="s">
        <v>49</v>
      </c>
      <c r="I168" t="s">
        <v>59</v>
      </c>
      <c r="J168">
        <v>0</v>
      </c>
    </row>
    <row r="169" spans="1:10">
      <c r="A169">
        <v>168</v>
      </c>
      <c r="B169" t="s">
        <v>37</v>
      </c>
      <c r="C169" t="e">
        <v>#N/A</v>
      </c>
      <c r="D169" t="s">
        <v>24</v>
      </c>
      <c r="E169" t="s">
        <v>45</v>
      </c>
      <c r="F169" t="s">
        <v>41</v>
      </c>
      <c r="G169" t="s">
        <v>49</v>
      </c>
      <c r="I169" t="s">
        <v>41</v>
      </c>
      <c r="J169">
        <v>0</v>
      </c>
    </row>
    <row r="170" spans="1:10">
      <c r="A170">
        <v>169</v>
      </c>
      <c r="B170" t="s">
        <v>36</v>
      </c>
      <c r="C170" t="e">
        <v>#N/A</v>
      </c>
      <c r="D170" t="s">
        <v>27</v>
      </c>
      <c r="E170" t="s">
        <v>45</v>
      </c>
      <c r="F170" t="s">
        <v>60</v>
      </c>
      <c r="G170" t="s">
        <v>56</v>
      </c>
      <c r="I170" t="s">
        <v>52</v>
      </c>
      <c r="J170">
        <v>0</v>
      </c>
    </row>
    <row r="171" spans="1:10">
      <c r="A171">
        <v>170</v>
      </c>
      <c r="B171" t="s">
        <v>36</v>
      </c>
      <c r="C171" t="e">
        <v>#N/A</v>
      </c>
      <c r="D171" t="s">
        <v>24</v>
      </c>
      <c r="E171" t="s">
        <v>48</v>
      </c>
      <c r="F171" t="s">
        <v>41</v>
      </c>
      <c r="G171" t="s">
        <v>64</v>
      </c>
      <c r="J171">
        <v>1</v>
      </c>
    </row>
    <row r="172" spans="1:10">
      <c r="A172">
        <v>171</v>
      </c>
      <c r="B172" t="s">
        <v>17</v>
      </c>
      <c r="C172" t="s">
        <v>18</v>
      </c>
      <c r="D172" t="s">
        <v>19</v>
      </c>
      <c r="E172" t="s">
        <v>42</v>
      </c>
      <c r="F172" t="s">
        <v>41</v>
      </c>
      <c r="G172" t="s">
        <v>41</v>
      </c>
      <c r="H172">
        <v>99999998</v>
      </c>
      <c r="I172" t="s">
        <v>44</v>
      </c>
      <c r="J172">
        <v>0</v>
      </c>
    </row>
    <row r="173" spans="1:10">
      <c r="A173">
        <v>172</v>
      </c>
      <c r="B173" t="s">
        <v>36</v>
      </c>
      <c r="C173" t="e">
        <v>#N/A</v>
      </c>
      <c r="D173" t="s">
        <v>24</v>
      </c>
      <c r="E173" t="s">
        <v>48</v>
      </c>
      <c r="F173" t="s">
        <v>41</v>
      </c>
      <c r="G173" t="s">
        <v>49</v>
      </c>
      <c r="I173" t="s">
        <v>47</v>
      </c>
      <c r="J173">
        <v>0</v>
      </c>
    </row>
    <row r="174" spans="1:10">
      <c r="A174">
        <v>173</v>
      </c>
      <c r="B174" t="s">
        <v>36</v>
      </c>
      <c r="C174" t="e">
        <v>#N/A</v>
      </c>
      <c r="D174" t="s">
        <v>38</v>
      </c>
      <c r="E174" t="s">
        <v>48</v>
      </c>
      <c r="F174" t="s">
        <v>55</v>
      </c>
      <c r="G174" t="s">
        <v>41</v>
      </c>
      <c r="I174" t="s">
        <v>47</v>
      </c>
      <c r="J174">
        <v>1</v>
      </c>
    </row>
    <row r="175" spans="1:10">
      <c r="A175">
        <v>174</v>
      </c>
      <c r="B175" t="s">
        <v>36</v>
      </c>
      <c r="C175" t="e">
        <v>#N/A</v>
      </c>
      <c r="D175" t="s">
        <v>39</v>
      </c>
      <c r="E175" t="s">
        <v>45</v>
      </c>
      <c r="F175" t="s">
        <v>41</v>
      </c>
      <c r="G175" t="s">
        <v>65</v>
      </c>
      <c r="I175" t="s">
        <v>52</v>
      </c>
      <c r="J175">
        <v>0</v>
      </c>
    </row>
    <row r="176" spans="1:10">
      <c r="A176">
        <v>175</v>
      </c>
      <c r="B176" t="s">
        <v>36</v>
      </c>
      <c r="C176" t="e">
        <v>#N/A</v>
      </c>
      <c r="D176" t="s">
        <v>26</v>
      </c>
      <c r="E176" t="s">
        <v>45</v>
      </c>
      <c r="F176" t="s">
        <v>41</v>
      </c>
      <c r="G176" t="s">
        <v>49</v>
      </c>
      <c r="I176" t="s">
        <v>47</v>
      </c>
      <c r="J176">
        <v>0</v>
      </c>
    </row>
    <row r="177" spans="1:10">
      <c r="A177">
        <v>176</v>
      </c>
      <c r="B177" t="s">
        <v>36</v>
      </c>
      <c r="C177" t="e">
        <v>#N/A</v>
      </c>
      <c r="D177" t="s">
        <v>39</v>
      </c>
      <c r="E177" t="s">
        <v>48</v>
      </c>
      <c r="F177" t="s">
        <v>61</v>
      </c>
      <c r="G177" t="s">
        <v>41</v>
      </c>
      <c r="J177">
        <v>0</v>
      </c>
    </row>
    <row r="178" spans="1:10">
      <c r="A178">
        <v>177</v>
      </c>
      <c r="B178" t="s">
        <v>36</v>
      </c>
      <c r="C178" t="e">
        <v>#N/A</v>
      </c>
      <c r="D178" t="s">
        <v>26</v>
      </c>
      <c r="E178" t="s">
        <v>40</v>
      </c>
      <c r="F178" t="s">
        <v>41</v>
      </c>
      <c r="G178" t="s">
        <v>65</v>
      </c>
      <c r="I178" t="s">
        <v>41</v>
      </c>
      <c r="J178">
        <v>0</v>
      </c>
    </row>
    <row r="179" spans="1:10">
      <c r="A179">
        <v>178</v>
      </c>
      <c r="B179" t="s">
        <v>36</v>
      </c>
      <c r="C179" t="e">
        <v>#N/A</v>
      </c>
      <c r="D179" t="s">
        <v>19</v>
      </c>
      <c r="E179" t="s">
        <v>58</v>
      </c>
      <c r="F179" t="s">
        <v>61</v>
      </c>
      <c r="G179" t="s">
        <v>65</v>
      </c>
      <c r="I179" t="s">
        <v>52</v>
      </c>
      <c r="J179">
        <v>0</v>
      </c>
    </row>
    <row r="180" spans="1:10">
      <c r="A180">
        <v>179</v>
      </c>
      <c r="B180" t="s">
        <v>36</v>
      </c>
      <c r="C180" t="e">
        <v>#N/A</v>
      </c>
      <c r="D180" t="s">
        <v>39</v>
      </c>
      <c r="E180" t="s">
        <v>45</v>
      </c>
      <c r="F180" t="s">
        <v>60</v>
      </c>
      <c r="G180" t="s">
        <v>56</v>
      </c>
      <c r="I180" t="s">
        <v>59</v>
      </c>
      <c r="J180">
        <v>0</v>
      </c>
    </row>
    <row r="181" spans="1:10">
      <c r="A181">
        <v>180</v>
      </c>
      <c r="B181" t="s">
        <v>36</v>
      </c>
      <c r="C181" t="e">
        <v>#N/A</v>
      </c>
      <c r="D181" t="s">
        <v>19</v>
      </c>
      <c r="E181" t="s">
        <v>42</v>
      </c>
      <c r="F181" t="s">
        <v>41</v>
      </c>
      <c r="G181" t="s">
        <v>64</v>
      </c>
      <c r="I181" t="s">
        <v>44</v>
      </c>
      <c r="J181">
        <v>0</v>
      </c>
    </row>
    <row r="182" spans="1:10">
      <c r="A182">
        <v>181</v>
      </c>
      <c r="B182" t="s">
        <v>36</v>
      </c>
      <c r="C182" t="e">
        <v>#N/A</v>
      </c>
      <c r="D182" t="s">
        <v>19</v>
      </c>
      <c r="E182" t="s">
        <v>45</v>
      </c>
      <c r="F182" t="s">
        <v>41</v>
      </c>
      <c r="G182" t="s">
        <v>65</v>
      </c>
      <c r="I182" t="s">
        <v>53</v>
      </c>
      <c r="J182">
        <v>1</v>
      </c>
    </row>
    <row r="183" spans="1:10">
      <c r="A183">
        <v>182</v>
      </c>
      <c r="B183" t="s">
        <v>37</v>
      </c>
      <c r="C183" t="e">
        <v>#N/A</v>
      </c>
      <c r="D183" t="s">
        <v>38</v>
      </c>
      <c r="E183" t="s">
        <v>45</v>
      </c>
      <c r="F183" t="s">
        <v>41</v>
      </c>
      <c r="G183" t="s">
        <v>65</v>
      </c>
      <c r="I183" t="s">
        <v>47</v>
      </c>
      <c r="J183">
        <v>0</v>
      </c>
    </row>
    <row r="184" spans="1:10">
      <c r="A184">
        <v>183</v>
      </c>
      <c r="B184" t="s">
        <v>36</v>
      </c>
      <c r="C184" t="e">
        <v>#N/A</v>
      </c>
      <c r="D184" t="s">
        <v>19</v>
      </c>
      <c r="E184" t="s">
        <v>40</v>
      </c>
      <c r="F184">
        <v>99999999</v>
      </c>
      <c r="G184">
        <v>99999999</v>
      </c>
      <c r="I184" t="s">
        <v>41</v>
      </c>
      <c r="J184">
        <v>0</v>
      </c>
    </row>
    <row r="185" spans="1:10">
      <c r="A185">
        <v>184</v>
      </c>
      <c r="B185" t="s">
        <v>36</v>
      </c>
      <c r="C185" t="e">
        <v>#N/A</v>
      </c>
      <c r="D185" t="s">
        <v>19</v>
      </c>
      <c r="E185" t="s">
        <v>40</v>
      </c>
      <c r="F185" t="s">
        <v>41</v>
      </c>
      <c r="G185" t="s">
        <v>41</v>
      </c>
      <c r="I185" t="s">
        <v>41</v>
      </c>
      <c r="J185">
        <v>0</v>
      </c>
    </row>
    <row r="186" spans="1:10">
      <c r="A186">
        <v>185</v>
      </c>
      <c r="B186" t="s">
        <v>36</v>
      </c>
      <c r="C186" t="e">
        <v>#N/A</v>
      </c>
      <c r="D186" t="s">
        <v>19</v>
      </c>
      <c r="F186">
        <v>99999999</v>
      </c>
      <c r="G186" t="s">
        <v>41</v>
      </c>
      <c r="H186">
        <v>99999999</v>
      </c>
      <c r="I186" t="s">
        <v>41</v>
      </c>
      <c r="J186">
        <v>0</v>
      </c>
    </row>
    <row r="187" spans="1:10">
      <c r="A187">
        <v>186</v>
      </c>
      <c r="B187" t="s">
        <v>36</v>
      </c>
      <c r="C187" t="e">
        <v>#N/A</v>
      </c>
      <c r="D187" t="s">
        <v>19</v>
      </c>
      <c r="E187" t="s">
        <v>48</v>
      </c>
      <c r="F187" t="s">
        <v>41</v>
      </c>
      <c r="G187" t="s">
        <v>41</v>
      </c>
      <c r="I187" t="s">
        <v>41</v>
      </c>
      <c r="J187">
        <v>0</v>
      </c>
    </row>
    <row r="188" spans="1:10">
      <c r="A188">
        <v>187</v>
      </c>
      <c r="B188" t="s">
        <v>36</v>
      </c>
      <c r="C188" t="e">
        <v>#N/A</v>
      </c>
      <c r="D188" t="s">
        <v>19</v>
      </c>
      <c r="E188" t="s">
        <v>48</v>
      </c>
      <c r="F188" t="s">
        <v>41</v>
      </c>
      <c r="G188" t="s">
        <v>41</v>
      </c>
      <c r="I188" t="s">
        <v>54</v>
      </c>
      <c r="J188">
        <v>0</v>
      </c>
    </row>
    <row r="189" spans="1:10">
      <c r="A189">
        <v>188</v>
      </c>
      <c r="B189" t="s">
        <v>36</v>
      </c>
      <c r="C189" t="e">
        <v>#N/A</v>
      </c>
      <c r="D189" t="s">
        <v>19</v>
      </c>
      <c r="E189" t="s">
        <v>45</v>
      </c>
      <c r="F189" t="s">
        <v>41</v>
      </c>
      <c r="G189" t="s">
        <v>41</v>
      </c>
      <c r="I189" t="s">
        <v>47</v>
      </c>
      <c r="J189">
        <v>0</v>
      </c>
    </row>
    <row r="190" spans="1:10">
      <c r="A190">
        <v>189</v>
      </c>
      <c r="B190" t="s">
        <v>36</v>
      </c>
      <c r="C190" t="e">
        <v>#N/A</v>
      </c>
      <c r="D190" t="s">
        <v>19</v>
      </c>
      <c r="E190" t="s">
        <v>40</v>
      </c>
      <c r="F190" t="s">
        <v>55</v>
      </c>
      <c r="G190" t="s">
        <v>65</v>
      </c>
      <c r="I190" t="s">
        <v>52</v>
      </c>
      <c r="J190">
        <v>0</v>
      </c>
    </row>
    <row r="191" spans="1:10">
      <c r="A191">
        <v>190</v>
      </c>
      <c r="B191" t="s">
        <v>36</v>
      </c>
      <c r="C191" t="e">
        <v>#N/A</v>
      </c>
      <c r="D191" t="s">
        <v>19</v>
      </c>
      <c r="E191" t="s">
        <v>58</v>
      </c>
      <c r="F191" t="s">
        <v>41</v>
      </c>
      <c r="G191">
        <v>99999999</v>
      </c>
      <c r="I191" t="s">
        <v>41</v>
      </c>
      <c r="J191">
        <v>0</v>
      </c>
    </row>
    <row r="192" spans="1:10">
      <c r="A192">
        <v>191</v>
      </c>
      <c r="B192" t="s">
        <v>37</v>
      </c>
      <c r="C192" t="e">
        <v>#N/A</v>
      </c>
      <c r="D192" t="s">
        <v>32</v>
      </c>
      <c r="E192" t="s">
        <v>58</v>
      </c>
      <c r="F192" t="s">
        <v>55</v>
      </c>
      <c r="G192" t="s">
        <v>65</v>
      </c>
      <c r="I192" t="s">
        <v>52</v>
      </c>
      <c r="J192">
        <v>0</v>
      </c>
    </row>
    <row r="193" spans="1:10">
      <c r="A193">
        <v>192</v>
      </c>
      <c r="B193" t="s">
        <v>36</v>
      </c>
      <c r="C193" t="e">
        <v>#N/A</v>
      </c>
      <c r="D193" t="s">
        <v>39</v>
      </c>
      <c r="F193" t="s">
        <v>60</v>
      </c>
      <c r="G193" t="s">
        <v>41</v>
      </c>
      <c r="J193">
        <v>0</v>
      </c>
    </row>
    <row r="194" spans="1:10">
      <c r="A194">
        <v>193</v>
      </c>
      <c r="B194" t="s">
        <v>36</v>
      </c>
      <c r="C194" t="e">
        <v>#N/A</v>
      </c>
      <c r="D194" t="s">
        <v>19</v>
      </c>
      <c r="E194" t="s">
        <v>48</v>
      </c>
      <c r="F194" t="s">
        <v>41</v>
      </c>
      <c r="G194" t="s">
        <v>49</v>
      </c>
      <c r="I194" t="s">
        <v>53</v>
      </c>
      <c r="J194">
        <v>0</v>
      </c>
    </row>
    <row r="195" spans="1:10">
      <c r="A195">
        <v>194</v>
      </c>
      <c r="B195" t="s">
        <v>36</v>
      </c>
      <c r="C195" t="e">
        <v>#N/A</v>
      </c>
      <c r="D195" t="s">
        <v>19</v>
      </c>
      <c r="E195" t="s">
        <v>45</v>
      </c>
      <c r="F195" t="s">
        <v>55</v>
      </c>
      <c r="G195" t="s">
        <v>65</v>
      </c>
      <c r="I195" t="s">
        <v>52</v>
      </c>
      <c r="J195">
        <v>0</v>
      </c>
    </row>
    <row r="196" spans="1:10">
      <c r="A196">
        <v>195</v>
      </c>
      <c r="B196" t="s">
        <v>36</v>
      </c>
      <c r="C196" t="e">
        <v>#N/A</v>
      </c>
      <c r="D196" t="s">
        <v>19</v>
      </c>
      <c r="E196" t="s">
        <v>45</v>
      </c>
      <c r="F196" t="s">
        <v>61</v>
      </c>
      <c r="G196" t="s">
        <v>41</v>
      </c>
      <c r="I196" t="s">
        <v>52</v>
      </c>
      <c r="J196">
        <v>0</v>
      </c>
    </row>
    <row r="197" spans="1:10">
      <c r="A197">
        <v>196</v>
      </c>
      <c r="B197" t="s">
        <v>36</v>
      </c>
      <c r="C197" t="e">
        <v>#N/A</v>
      </c>
      <c r="D197" t="s">
        <v>26</v>
      </c>
      <c r="E197" t="s">
        <v>48</v>
      </c>
      <c r="F197" t="s">
        <v>55</v>
      </c>
      <c r="G197" t="s">
        <v>64</v>
      </c>
      <c r="I197" t="s">
        <v>53</v>
      </c>
      <c r="J197">
        <v>0</v>
      </c>
    </row>
    <row r="198" spans="1:10">
      <c r="A198">
        <v>197</v>
      </c>
      <c r="B198" t="s">
        <v>36</v>
      </c>
      <c r="C198" t="e">
        <v>#N/A</v>
      </c>
      <c r="D198" t="s">
        <v>19</v>
      </c>
      <c r="F198" t="s">
        <v>41</v>
      </c>
      <c r="G198" t="s">
        <v>64</v>
      </c>
      <c r="J198">
        <v>1</v>
      </c>
    </row>
    <row r="199" spans="1:10">
      <c r="A199">
        <v>198</v>
      </c>
      <c r="B199" t="s">
        <v>36</v>
      </c>
      <c r="C199" t="e">
        <v>#N/A</v>
      </c>
      <c r="D199" t="s">
        <v>19</v>
      </c>
      <c r="E199" t="s">
        <v>48</v>
      </c>
      <c r="F199" t="s">
        <v>61</v>
      </c>
      <c r="G199" t="s">
        <v>41</v>
      </c>
      <c r="J199">
        <v>0</v>
      </c>
    </row>
    <row r="200" spans="1:10">
      <c r="A200">
        <v>199</v>
      </c>
      <c r="B200" t="s">
        <v>36</v>
      </c>
      <c r="C200" t="e">
        <v>#N/A</v>
      </c>
      <c r="D200" t="s">
        <v>26</v>
      </c>
      <c r="E200" t="s">
        <v>42</v>
      </c>
      <c r="F200" t="s">
        <v>61</v>
      </c>
      <c r="G200" t="s">
        <v>41</v>
      </c>
      <c r="I200" t="s">
        <v>54</v>
      </c>
      <c r="J200">
        <v>0</v>
      </c>
    </row>
    <row r="201" spans="1:10">
      <c r="A201">
        <v>200</v>
      </c>
      <c r="B201" t="s">
        <v>29</v>
      </c>
      <c r="C201" t="e">
        <v>#N/A</v>
      </c>
      <c r="D201" t="s">
        <v>29</v>
      </c>
      <c r="E201" t="s">
        <v>45</v>
      </c>
      <c r="F201" t="s">
        <v>50</v>
      </c>
      <c r="G201" t="s">
        <v>64</v>
      </c>
      <c r="I201" t="s">
        <v>52</v>
      </c>
      <c r="J201">
        <v>0</v>
      </c>
    </row>
    <row r="202" spans="1:10">
      <c r="A202">
        <v>201</v>
      </c>
      <c r="B202" t="s">
        <v>36</v>
      </c>
      <c r="C202" t="e">
        <v>#N/A</v>
      </c>
      <c r="D202" t="s">
        <v>19</v>
      </c>
      <c r="E202" t="s">
        <v>58</v>
      </c>
      <c r="F202">
        <v>99999999</v>
      </c>
      <c r="G202">
        <v>99999999</v>
      </c>
      <c r="H202">
        <v>99999999</v>
      </c>
      <c r="I202" t="s">
        <v>41</v>
      </c>
      <c r="J202">
        <v>0</v>
      </c>
    </row>
    <row r="203" spans="1:10">
      <c r="A203">
        <v>202</v>
      </c>
      <c r="B203" t="s">
        <v>36</v>
      </c>
      <c r="C203" t="e">
        <v>#N/A</v>
      </c>
      <c r="D203" t="s">
        <v>19</v>
      </c>
      <c r="E203" t="s">
        <v>48</v>
      </c>
      <c r="F203" t="s">
        <v>55</v>
      </c>
      <c r="G203">
        <v>99999999</v>
      </c>
      <c r="I203" t="s">
        <v>52</v>
      </c>
      <c r="J203">
        <v>0</v>
      </c>
    </row>
    <row r="204" spans="1:10">
      <c r="A204">
        <v>203</v>
      </c>
      <c r="B204" t="s">
        <v>36</v>
      </c>
      <c r="C204" t="e">
        <v>#N/A</v>
      </c>
      <c r="D204" t="s">
        <v>19</v>
      </c>
      <c r="E204" t="s">
        <v>48</v>
      </c>
      <c r="F204" t="s">
        <v>61</v>
      </c>
      <c r="G204" t="s">
        <v>65</v>
      </c>
      <c r="I204" t="s">
        <v>52</v>
      </c>
      <c r="J204">
        <v>0</v>
      </c>
    </row>
    <row r="205" spans="1:10">
      <c r="A205">
        <v>204</v>
      </c>
      <c r="B205" t="s">
        <v>36</v>
      </c>
      <c r="C205" t="e">
        <v>#N/A</v>
      </c>
      <c r="D205" t="s">
        <v>19</v>
      </c>
      <c r="F205">
        <v>99999999</v>
      </c>
      <c r="G205">
        <v>99999999</v>
      </c>
      <c r="J205">
        <v>0</v>
      </c>
    </row>
    <row r="206" spans="1:10">
      <c r="A206">
        <v>205</v>
      </c>
      <c r="B206" t="s">
        <v>36</v>
      </c>
      <c r="C206" t="e">
        <v>#N/A</v>
      </c>
      <c r="D206" t="s">
        <v>19</v>
      </c>
      <c r="E206" t="s">
        <v>40</v>
      </c>
      <c r="F206" t="s">
        <v>41</v>
      </c>
      <c r="G206" t="s">
        <v>41</v>
      </c>
      <c r="I206" t="s">
        <v>41</v>
      </c>
      <c r="J206">
        <v>0</v>
      </c>
    </row>
    <row r="207" spans="1:10">
      <c r="A207">
        <v>206</v>
      </c>
      <c r="B207" t="s">
        <v>36</v>
      </c>
      <c r="C207" t="e">
        <v>#N/A</v>
      </c>
      <c r="D207" t="s">
        <v>26</v>
      </c>
      <c r="E207" t="s">
        <v>45</v>
      </c>
      <c r="F207" t="s">
        <v>41</v>
      </c>
      <c r="G207" t="s">
        <v>49</v>
      </c>
      <c r="I207" t="s">
        <v>52</v>
      </c>
      <c r="J207">
        <v>0</v>
      </c>
    </row>
    <row r="208" spans="1:10">
      <c r="A208">
        <v>207</v>
      </c>
      <c r="B208" t="s">
        <v>36</v>
      </c>
      <c r="C208" t="e">
        <v>#N/A</v>
      </c>
      <c r="D208" t="s">
        <v>19</v>
      </c>
      <c r="E208" t="s">
        <v>45</v>
      </c>
      <c r="F208" t="s">
        <v>41</v>
      </c>
      <c r="G208" t="s">
        <v>41</v>
      </c>
      <c r="I208" t="s">
        <v>62</v>
      </c>
      <c r="J208">
        <v>0</v>
      </c>
    </row>
    <row r="209" spans="1:10">
      <c r="A209">
        <v>208</v>
      </c>
      <c r="B209" t="s">
        <v>36</v>
      </c>
      <c r="C209" t="e">
        <v>#N/A</v>
      </c>
      <c r="D209" t="s">
        <v>26</v>
      </c>
      <c r="E209" t="s">
        <v>45</v>
      </c>
      <c r="F209" t="s">
        <v>55</v>
      </c>
      <c r="G209" t="s">
        <v>41</v>
      </c>
      <c r="I209" t="s">
        <v>53</v>
      </c>
      <c r="J209">
        <v>0</v>
      </c>
    </row>
    <row r="210" spans="1:10">
      <c r="A210">
        <v>209</v>
      </c>
      <c r="B210" t="s">
        <v>36</v>
      </c>
      <c r="C210" t="e">
        <v>#N/A</v>
      </c>
      <c r="D210" t="s">
        <v>19</v>
      </c>
      <c r="E210" t="s">
        <v>45</v>
      </c>
      <c r="F210" t="s">
        <v>55</v>
      </c>
      <c r="G210" t="s">
        <v>56</v>
      </c>
      <c r="I210" t="s">
        <v>52</v>
      </c>
      <c r="J210">
        <v>0</v>
      </c>
    </row>
    <row r="211" spans="1:10">
      <c r="A211">
        <v>210</v>
      </c>
      <c r="B211" t="s">
        <v>36</v>
      </c>
      <c r="C211" t="e">
        <v>#N/A</v>
      </c>
      <c r="D211" t="s">
        <v>19</v>
      </c>
      <c r="E211" t="s">
        <v>40</v>
      </c>
      <c r="F211" t="s">
        <v>41</v>
      </c>
      <c r="G211" t="s">
        <v>41</v>
      </c>
      <c r="J211">
        <v>0</v>
      </c>
    </row>
    <row r="212" spans="1:10">
      <c r="A212">
        <v>211</v>
      </c>
      <c r="B212" t="s">
        <v>36</v>
      </c>
      <c r="C212" t="e">
        <v>#N/A</v>
      </c>
      <c r="D212" t="s">
        <v>19</v>
      </c>
      <c r="E212" t="s">
        <v>48</v>
      </c>
      <c r="F212" t="s">
        <v>41</v>
      </c>
      <c r="G212" t="s">
        <v>65</v>
      </c>
      <c r="I212" t="s">
        <v>62</v>
      </c>
      <c r="J212">
        <v>0</v>
      </c>
    </row>
    <row r="213" spans="1:10">
      <c r="A213">
        <v>212</v>
      </c>
      <c r="B213" t="s">
        <v>36</v>
      </c>
      <c r="C213" t="e">
        <v>#N/A</v>
      </c>
      <c r="D213" t="s">
        <v>19</v>
      </c>
      <c r="E213" t="s">
        <v>45</v>
      </c>
      <c r="F213" t="s">
        <v>41</v>
      </c>
      <c r="G213" t="s">
        <v>41</v>
      </c>
      <c r="I213" t="s">
        <v>47</v>
      </c>
      <c r="J213">
        <v>0</v>
      </c>
    </row>
    <row r="214" spans="1:10">
      <c r="A214">
        <v>213</v>
      </c>
      <c r="B214" t="s">
        <v>36</v>
      </c>
      <c r="C214" t="e">
        <v>#N/A</v>
      </c>
      <c r="D214" t="s">
        <v>26</v>
      </c>
      <c r="E214" t="s">
        <v>42</v>
      </c>
      <c r="F214" t="s">
        <v>61</v>
      </c>
      <c r="G214" t="s">
        <v>49</v>
      </c>
      <c r="I214" t="s">
        <v>47</v>
      </c>
      <c r="J214">
        <v>0</v>
      </c>
    </row>
    <row r="215" spans="1:10">
      <c r="A215">
        <v>214</v>
      </c>
      <c r="B215" t="s">
        <v>36</v>
      </c>
      <c r="C215" t="e">
        <v>#N/A</v>
      </c>
      <c r="D215" t="s">
        <v>19</v>
      </c>
      <c r="E215" t="s">
        <v>40</v>
      </c>
      <c r="F215" t="s">
        <v>41</v>
      </c>
      <c r="G215" t="s">
        <v>49</v>
      </c>
      <c r="I215" t="s">
        <v>41</v>
      </c>
      <c r="J215">
        <v>0</v>
      </c>
    </row>
    <row r="216" spans="1:10">
      <c r="A216">
        <v>215</v>
      </c>
      <c r="B216" t="s">
        <v>36</v>
      </c>
      <c r="C216" t="e">
        <v>#N/A</v>
      </c>
      <c r="D216" t="s">
        <v>19</v>
      </c>
      <c r="E216" t="s">
        <v>48</v>
      </c>
      <c r="F216" t="s">
        <v>55</v>
      </c>
      <c r="G216" t="s">
        <v>41</v>
      </c>
      <c r="J216">
        <v>0</v>
      </c>
    </row>
    <row r="217" spans="1:10">
      <c r="A217">
        <v>216</v>
      </c>
      <c r="B217" t="s">
        <v>36</v>
      </c>
      <c r="C217" t="e">
        <v>#N/A</v>
      </c>
      <c r="D217" t="s">
        <v>19</v>
      </c>
      <c r="E217" t="s">
        <v>40</v>
      </c>
      <c r="F217" t="s">
        <v>41</v>
      </c>
      <c r="G217" t="s">
        <v>41</v>
      </c>
      <c r="I217" t="s">
        <v>62</v>
      </c>
      <c r="J217">
        <v>0</v>
      </c>
    </row>
    <row r="218" spans="1:10">
      <c r="A218">
        <v>217</v>
      </c>
      <c r="B218" t="s">
        <v>36</v>
      </c>
      <c r="C218" t="e">
        <v>#N/A</v>
      </c>
      <c r="D218" t="s">
        <v>19</v>
      </c>
      <c r="E218" t="s">
        <v>48</v>
      </c>
      <c r="F218" t="s">
        <v>41</v>
      </c>
      <c r="G218" t="s">
        <v>41</v>
      </c>
      <c r="I218" t="s">
        <v>52</v>
      </c>
      <c r="J218">
        <v>0</v>
      </c>
    </row>
    <row r="219" spans="1:10">
      <c r="A219">
        <v>218</v>
      </c>
      <c r="B219" t="s">
        <v>36</v>
      </c>
      <c r="C219" t="e">
        <v>#N/A</v>
      </c>
      <c r="D219" t="s">
        <v>27</v>
      </c>
      <c r="F219">
        <v>99999999</v>
      </c>
      <c r="G219">
        <v>99999999</v>
      </c>
      <c r="J219">
        <v>0</v>
      </c>
    </row>
    <row r="220" spans="1:10">
      <c r="A220">
        <v>219</v>
      </c>
      <c r="B220" t="s">
        <v>36</v>
      </c>
      <c r="C220" t="e">
        <v>#N/A</v>
      </c>
      <c r="D220" t="s">
        <v>19</v>
      </c>
      <c r="E220" t="s">
        <v>42</v>
      </c>
      <c r="F220" t="s">
        <v>60</v>
      </c>
      <c r="G220" t="s">
        <v>56</v>
      </c>
      <c r="I220" t="s">
        <v>53</v>
      </c>
      <c r="J220">
        <v>0</v>
      </c>
    </row>
    <row r="221" spans="1:10">
      <c r="A221">
        <v>220</v>
      </c>
      <c r="B221" t="s">
        <v>37</v>
      </c>
      <c r="C221" t="e">
        <v>#N/A</v>
      </c>
      <c r="D221" t="s">
        <v>19</v>
      </c>
      <c r="E221" t="s">
        <v>45</v>
      </c>
      <c r="F221" t="s">
        <v>50</v>
      </c>
      <c r="G221" t="s">
        <v>65</v>
      </c>
      <c r="I221" t="s">
        <v>52</v>
      </c>
      <c r="J221">
        <v>0</v>
      </c>
    </row>
    <row r="222" spans="1:10">
      <c r="A222">
        <v>221</v>
      </c>
      <c r="B222" t="s">
        <v>36</v>
      </c>
      <c r="C222" t="e">
        <v>#N/A</v>
      </c>
      <c r="D222" t="s">
        <v>19</v>
      </c>
      <c r="E222" t="s">
        <v>45</v>
      </c>
      <c r="F222" t="s">
        <v>41</v>
      </c>
      <c r="G222" t="s">
        <v>56</v>
      </c>
      <c r="I222" t="s">
        <v>54</v>
      </c>
      <c r="J222">
        <v>0</v>
      </c>
    </row>
    <row r="223" spans="1:10">
      <c r="A223">
        <v>222</v>
      </c>
      <c r="B223" t="s">
        <v>36</v>
      </c>
      <c r="C223" t="e">
        <v>#N/A</v>
      </c>
      <c r="D223" t="s">
        <v>19</v>
      </c>
      <c r="E223" t="s">
        <v>48</v>
      </c>
      <c r="F223" t="s">
        <v>41</v>
      </c>
      <c r="G223" t="s">
        <v>41</v>
      </c>
      <c r="H223">
        <v>99999999</v>
      </c>
      <c r="I223" t="s">
        <v>41</v>
      </c>
      <c r="J223">
        <v>1</v>
      </c>
    </row>
    <row r="224" spans="1:10">
      <c r="A224">
        <v>223</v>
      </c>
      <c r="B224" t="s">
        <v>36</v>
      </c>
      <c r="C224" t="e">
        <v>#N/A</v>
      </c>
      <c r="D224" t="s">
        <v>19</v>
      </c>
      <c r="E224" t="s">
        <v>42</v>
      </c>
      <c r="F224" t="s">
        <v>41</v>
      </c>
      <c r="G224" t="s">
        <v>41</v>
      </c>
      <c r="I224" t="s">
        <v>41</v>
      </c>
      <c r="J224">
        <v>0</v>
      </c>
    </row>
    <row r="225" spans="1:10">
      <c r="A225">
        <v>224</v>
      </c>
      <c r="B225" t="s">
        <v>36</v>
      </c>
      <c r="C225" t="e">
        <v>#N/A</v>
      </c>
      <c r="D225" t="s">
        <v>19</v>
      </c>
      <c r="E225" t="s">
        <v>42</v>
      </c>
      <c r="F225" t="s">
        <v>41</v>
      </c>
      <c r="G225" t="s">
        <v>41</v>
      </c>
      <c r="I225" t="s">
        <v>44</v>
      </c>
      <c r="J225">
        <v>0</v>
      </c>
    </row>
    <row r="226" spans="1:10">
      <c r="A226">
        <v>225</v>
      </c>
      <c r="B226" t="s">
        <v>36</v>
      </c>
      <c r="C226" t="e">
        <v>#N/A</v>
      </c>
      <c r="D226" t="s">
        <v>19</v>
      </c>
      <c r="E226" t="s">
        <v>48</v>
      </c>
      <c r="F226" t="s">
        <v>41</v>
      </c>
      <c r="G226" t="s">
        <v>41</v>
      </c>
      <c r="H226">
        <v>99999999</v>
      </c>
      <c r="I226" t="s">
        <v>52</v>
      </c>
      <c r="J226">
        <v>0</v>
      </c>
    </row>
    <row r="227" spans="1:10">
      <c r="A227">
        <v>226</v>
      </c>
      <c r="B227" t="s">
        <v>37</v>
      </c>
      <c r="C227" t="e">
        <v>#N/A</v>
      </c>
      <c r="D227" t="s">
        <v>30</v>
      </c>
      <c r="E227" t="s">
        <v>58</v>
      </c>
      <c r="F227" t="s">
        <v>41</v>
      </c>
      <c r="G227" t="s">
        <v>41</v>
      </c>
      <c r="H227">
        <v>99999999</v>
      </c>
      <c r="I227" t="s">
        <v>47</v>
      </c>
      <c r="J227">
        <v>0</v>
      </c>
    </row>
    <row r="228" spans="1:10">
      <c r="A228">
        <v>227</v>
      </c>
      <c r="B228" t="s">
        <v>36</v>
      </c>
      <c r="C228" t="e">
        <v>#N/A</v>
      </c>
      <c r="D228" t="s">
        <v>19</v>
      </c>
      <c r="E228" t="s">
        <v>45</v>
      </c>
      <c r="F228" t="s">
        <v>60</v>
      </c>
      <c r="G228" t="s">
        <v>64</v>
      </c>
      <c r="H228">
        <v>99999999</v>
      </c>
      <c r="I228" t="s">
        <v>59</v>
      </c>
      <c r="J228">
        <v>0</v>
      </c>
    </row>
    <row r="229" spans="1:10">
      <c r="A229">
        <v>228</v>
      </c>
      <c r="B229" t="s">
        <v>36</v>
      </c>
      <c r="C229" t="e">
        <v>#N/A</v>
      </c>
      <c r="D229" t="s">
        <v>39</v>
      </c>
      <c r="E229" t="s">
        <v>45</v>
      </c>
      <c r="F229" t="s">
        <v>50</v>
      </c>
      <c r="G229" t="s">
        <v>41</v>
      </c>
      <c r="I229" t="s">
        <v>47</v>
      </c>
      <c r="J229">
        <v>0</v>
      </c>
    </row>
    <row r="230" spans="1:10">
      <c r="A230">
        <v>229</v>
      </c>
      <c r="B230" t="s">
        <v>36</v>
      </c>
      <c r="C230" t="e">
        <v>#N/A</v>
      </c>
      <c r="D230" t="s">
        <v>34</v>
      </c>
      <c r="E230" t="s">
        <v>40</v>
      </c>
      <c r="F230" t="s">
        <v>60</v>
      </c>
      <c r="G230">
        <v>99999999</v>
      </c>
      <c r="J230">
        <v>0</v>
      </c>
    </row>
    <row r="231" spans="1:10">
      <c r="A231">
        <v>230</v>
      </c>
      <c r="B231" t="s">
        <v>36</v>
      </c>
      <c r="C231" t="e">
        <v>#N/A</v>
      </c>
      <c r="D231" t="s">
        <v>19</v>
      </c>
      <c r="E231" t="s">
        <v>48</v>
      </c>
      <c r="F231" t="s">
        <v>41</v>
      </c>
      <c r="G231" t="s">
        <v>41</v>
      </c>
      <c r="I231" t="s">
        <v>44</v>
      </c>
      <c r="J231">
        <v>0</v>
      </c>
    </row>
    <row r="232" spans="1:10">
      <c r="A232">
        <v>231</v>
      </c>
      <c r="B232" t="s">
        <v>36</v>
      </c>
      <c r="C232" t="e">
        <v>#N/A</v>
      </c>
      <c r="D232" t="s">
        <v>19</v>
      </c>
      <c r="E232" t="s">
        <v>40</v>
      </c>
      <c r="F232" t="s">
        <v>41</v>
      </c>
      <c r="G232" t="s">
        <v>41</v>
      </c>
      <c r="J232">
        <v>1</v>
      </c>
    </row>
    <row r="233" spans="1:10">
      <c r="A233">
        <v>232</v>
      </c>
      <c r="B233" t="s">
        <v>36</v>
      </c>
      <c r="C233" t="e">
        <v>#N/A</v>
      </c>
      <c r="D233" t="s">
        <v>34</v>
      </c>
      <c r="J233">
        <v>0</v>
      </c>
    </row>
    <row r="234" spans="1:10">
      <c r="A234">
        <v>233</v>
      </c>
      <c r="B234" t="s">
        <v>36</v>
      </c>
      <c r="C234" t="e">
        <v>#N/A</v>
      </c>
      <c r="D234" t="s">
        <v>39</v>
      </c>
      <c r="F234" t="s">
        <v>60</v>
      </c>
      <c r="G234" t="s">
        <v>64</v>
      </c>
      <c r="H234">
        <v>99999999</v>
      </c>
      <c r="J234">
        <v>0</v>
      </c>
    </row>
    <row r="235" spans="1:10">
      <c r="A235">
        <v>234</v>
      </c>
      <c r="B235" t="s">
        <v>36</v>
      </c>
      <c r="C235" t="e">
        <v>#N/A</v>
      </c>
      <c r="D235" t="s">
        <v>39</v>
      </c>
      <c r="E235" t="s">
        <v>58</v>
      </c>
      <c r="F235" t="s">
        <v>41</v>
      </c>
      <c r="G235" t="s">
        <v>64</v>
      </c>
      <c r="I235" t="s">
        <v>44</v>
      </c>
      <c r="J235">
        <v>0</v>
      </c>
    </row>
    <row r="236" spans="1:10">
      <c r="A236">
        <v>235</v>
      </c>
      <c r="B236" t="s">
        <v>36</v>
      </c>
      <c r="C236" t="e">
        <v>#N/A</v>
      </c>
      <c r="D236" t="s">
        <v>39</v>
      </c>
      <c r="E236" t="s">
        <v>48</v>
      </c>
      <c r="F236" t="s">
        <v>60</v>
      </c>
      <c r="G236" t="s">
        <v>41</v>
      </c>
      <c r="I236" t="s">
        <v>47</v>
      </c>
      <c r="J236">
        <v>0</v>
      </c>
    </row>
    <row r="237" spans="1:10">
      <c r="A237">
        <v>236</v>
      </c>
      <c r="B237" t="s">
        <v>36</v>
      </c>
      <c r="C237" t="e">
        <v>#N/A</v>
      </c>
      <c r="D237" t="s">
        <v>19</v>
      </c>
      <c r="J237">
        <v>0</v>
      </c>
    </row>
    <row r="238" spans="1:10">
      <c r="A238">
        <v>237</v>
      </c>
      <c r="B238" t="s">
        <v>36</v>
      </c>
      <c r="C238" t="e">
        <v>#N/A</v>
      </c>
      <c r="D238" t="s">
        <v>19</v>
      </c>
      <c r="E238" t="s">
        <v>40</v>
      </c>
      <c r="F238">
        <v>99999999</v>
      </c>
      <c r="G238">
        <v>99999999</v>
      </c>
      <c r="H238">
        <v>99999999</v>
      </c>
      <c r="I238" t="s">
        <v>41</v>
      </c>
      <c r="J238">
        <v>0</v>
      </c>
    </row>
    <row r="239" spans="1:10">
      <c r="A239">
        <v>238</v>
      </c>
      <c r="B239" t="s">
        <v>36</v>
      </c>
      <c r="C239" t="e">
        <v>#N/A</v>
      </c>
      <c r="D239" t="s">
        <v>19</v>
      </c>
      <c r="E239" t="s">
        <v>48</v>
      </c>
      <c r="F239">
        <v>99999999</v>
      </c>
      <c r="G239">
        <v>99999999</v>
      </c>
      <c r="I239" t="s">
        <v>41</v>
      </c>
      <c r="J239">
        <v>0</v>
      </c>
    </row>
    <row r="240" spans="1:10">
      <c r="A240">
        <v>239</v>
      </c>
      <c r="B240" t="s">
        <v>36</v>
      </c>
      <c r="C240" t="e">
        <v>#N/A</v>
      </c>
      <c r="D240" t="s">
        <v>19</v>
      </c>
      <c r="E240" t="s">
        <v>45</v>
      </c>
      <c r="F240">
        <v>99999999</v>
      </c>
      <c r="G240">
        <v>99999999</v>
      </c>
      <c r="I240" t="s">
        <v>41</v>
      </c>
      <c r="J240">
        <v>0</v>
      </c>
    </row>
    <row r="241" spans="1:10">
      <c r="A241">
        <v>240</v>
      </c>
      <c r="B241" t="s">
        <v>36</v>
      </c>
      <c r="C241" t="e">
        <v>#N/A</v>
      </c>
      <c r="D241" t="s">
        <v>19</v>
      </c>
      <c r="E241" t="s">
        <v>45</v>
      </c>
      <c r="F241" t="s">
        <v>41</v>
      </c>
      <c r="G241" t="s">
        <v>56</v>
      </c>
      <c r="I241" t="s">
        <v>54</v>
      </c>
      <c r="J241">
        <v>0</v>
      </c>
    </row>
    <row r="242" spans="1:10">
      <c r="A242">
        <v>241</v>
      </c>
      <c r="B242" t="s">
        <v>36</v>
      </c>
      <c r="C242" t="e">
        <v>#N/A</v>
      </c>
      <c r="D242" t="s">
        <v>26</v>
      </c>
      <c r="E242" t="s">
        <v>45</v>
      </c>
      <c r="F242" t="s">
        <v>41</v>
      </c>
      <c r="G242" t="s">
        <v>49</v>
      </c>
      <c r="I242" t="s">
        <v>52</v>
      </c>
      <c r="J242">
        <v>0</v>
      </c>
    </row>
    <row r="243" spans="1:10">
      <c r="A243">
        <v>242</v>
      </c>
      <c r="B243" t="s">
        <v>36</v>
      </c>
      <c r="C243" t="e">
        <v>#N/A</v>
      </c>
      <c r="D243" t="s">
        <v>19</v>
      </c>
      <c r="E243" t="s">
        <v>40</v>
      </c>
      <c r="F243">
        <v>99999999</v>
      </c>
      <c r="G243">
        <v>99999999</v>
      </c>
      <c r="J243">
        <v>0</v>
      </c>
    </row>
    <row r="244" spans="1:10">
      <c r="A244">
        <v>243</v>
      </c>
      <c r="B244" t="s">
        <v>36</v>
      </c>
      <c r="C244" t="e">
        <v>#N/A</v>
      </c>
      <c r="D244" t="s">
        <v>19</v>
      </c>
      <c r="E244" t="s">
        <v>48</v>
      </c>
      <c r="F244" t="s">
        <v>41</v>
      </c>
      <c r="G244" t="s">
        <v>41</v>
      </c>
      <c r="I244" t="s">
        <v>54</v>
      </c>
      <c r="J244">
        <v>1</v>
      </c>
    </row>
    <row r="245" spans="1:10">
      <c r="A245">
        <v>244</v>
      </c>
      <c r="B245" t="s">
        <v>36</v>
      </c>
      <c r="C245" t="e">
        <v>#N/A</v>
      </c>
      <c r="D245" t="s">
        <v>19</v>
      </c>
      <c r="E245" t="s">
        <v>48</v>
      </c>
      <c r="F245" t="s">
        <v>61</v>
      </c>
      <c r="G245" t="s">
        <v>49</v>
      </c>
      <c r="I245" t="s">
        <v>59</v>
      </c>
      <c r="J245">
        <v>0</v>
      </c>
    </row>
    <row r="246" spans="1:10">
      <c r="A246">
        <v>245</v>
      </c>
      <c r="B246" t="s">
        <v>36</v>
      </c>
      <c r="C246" t="e">
        <v>#N/A</v>
      </c>
      <c r="D246" t="s">
        <v>34</v>
      </c>
      <c r="F246">
        <v>99999999</v>
      </c>
      <c r="G246">
        <v>99999999</v>
      </c>
      <c r="J246">
        <v>0</v>
      </c>
    </row>
    <row r="247" spans="1:10">
      <c r="A247">
        <v>246</v>
      </c>
      <c r="B247" t="s">
        <v>36</v>
      </c>
      <c r="C247" t="e">
        <v>#N/A</v>
      </c>
      <c r="D247" t="s">
        <v>19</v>
      </c>
      <c r="E247" t="s">
        <v>58</v>
      </c>
      <c r="F247" t="s">
        <v>41</v>
      </c>
      <c r="G247" t="s">
        <v>49</v>
      </c>
      <c r="I247" t="s">
        <v>52</v>
      </c>
      <c r="J247">
        <v>0</v>
      </c>
    </row>
    <row r="248" spans="1:10">
      <c r="A248">
        <v>247</v>
      </c>
      <c r="B248" t="s">
        <v>36</v>
      </c>
      <c r="C248" t="e">
        <v>#N/A</v>
      </c>
      <c r="D248" t="s">
        <v>19</v>
      </c>
      <c r="E248" t="s">
        <v>42</v>
      </c>
      <c r="F248" t="s">
        <v>41</v>
      </c>
      <c r="G248" t="s">
        <v>65</v>
      </c>
      <c r="I248" t="s">
        <v>52</v>
      </c>
      <c r="J248">
        <v>0</v>
      </c>
    </row>
    <row r="249" spans="1:10">
      <c r="A249">
        <v>248</v>
      </c>
      <c r="B249" t="s">
        <v>36</v>
      </c>
      <c r="C249" t="e">
        <v>#N/A</v>
      </c>
      <c r="D249" t="s">
        <v>39</v>
      </c>
      <c r="E249" t="s">
        <v>48</v>
      </c>
      <c r="F249" t="s">
        <v>61</v>
      </c>
      <c r="G249" t="s">
        <v>65</v>
      </c>
      <c r="I249" t="s">
        <v>53</v>
      </c>
      <c r="J249">
        <v>0</v>
      </c>
    </row>
    <row r="250" spans="1:10">
      <c r="A250">
        <v>249</v>
      </c>
      <c r="B250" t="s">
        <v>36</v>
      </c>
      <c r="C250" t="e">
        <v>#N/A</v>
      </c>
      <c r="D250" t="s">
        <v>19</v>
      </c>
      <c r="E250" t="s">
        <v>40</v>
      </c>
      <c r="F250" t="s">
        <v>50</v>
      </c>
      <c r="G250" t="s">
        <v>49</v>
      </c>
      <c r="J250">
        <v>0</v>
      </c>
    </row>
    <row r="251" spans="1:10">
      <c r="A251">
        <v>250</v>
      </c>
      <c r="B251" t="s">
        <v>36</v>
      </c>
      <c r="C251" t="e">
        <v>#N/A</v>
      </c>
      <c r="D251" t="s">
        <v>19</v>
      </c>
      <c r="E251" t="s">
        <v>40</v>
      </c>
      <c r="F251" t="s">
        <v>55</v>
      </c>
      <c r="G251" t="s">
        <v>41</v>
      </c>
      <c r="I251" t="s">
        <v>62</v>
      </c>
      <c r="J251">
        <v>0</v>
      </c>
    </row>
    <row r="252" spans="1:10">
      <c r="A252">
        <v>251</v>
      </c>
      <c r="B252" t="s">
        <v>36</v>
      </c>
      <c r="C252" t="e">
        <v>#N/A</v>
      </c>
      <c r="D252" t="s">
        <v>19</v>
      </c>
      <c r="E252" t="s">
        <v>45</v>
      </c>
      <c r="F252" t="s">
        <v>41</v>
      </c>
      <c r="G252" t="s">
        <v>64</v>
      </c>
      <c r="I252" t="s">
        <v>53</v>
      </c>
      <c r="J252">
        <v>0</v>
      </c>
    </row>
    <row r="253" spans="1:10">
      <c r="A253">
        <v>252</v>
      </c>
      <c r="B253" t="s">
        <v>36</v>
      </c>
      <c r="C253" t="e">
        <v>#N/A</v>
      </c>
      <c r="D253" t="s">
        <v>26</v>
      </c>
      <c r="E253" t="s">
        <v>42</v>
      </c>
      <c r="F253" t="s">
        <v>41</v>
      </c>
      <c r="G253" t="s">
        <v>49</v>
      </c>
      <c r="I253" t="s">
        <v>44</v>
      </c>
      <c r="J253">
        <v>0</v>
      </c>
    </row>
    <row r="254" spans="1:10">
      <c r="A254">
        <v>253</v>
      </c>
      <c r="B254" t="s">
        <v>36</v>
      </c>
      <c r="C254" t="e">
        <v>#N/A</v>
      </c>
      <c r="D254" t="s">
        <v>19</v>
      </c>
      <c r="E254" t="s">
        <v>40</v>
      </c>
      <c r="F254">
        <v>99999999</v>
      </c>
      <c r="G254">
        <v>99999999</v>
      </c>
      <c r="J254">
        <v>0</v>
      </c>
    </row>
    <row r="255" spans="1:10">
      <c r="A255">
        <v>254</v>
      </c>
      <c r="B255" t="s">
        <v>36</v>
      </c>
      <c r="C255" t="e">
        <v>#N/A</v>
      </c>
      <c r="D255" t="s">
        <v>26</v>
      </c>
      <c r="E255" t="s">
        <v>45</v>
      </c>
      <c r="F255" t="s">
        <v>41</v>
      </c>
      <c r="G255" t="s">
        <v>49</v>
      </c>
      <c r="I255" t="s">
        <v>62</v>
      </c>
      <c r="J255">
        <v>0</v>
      </c>
    </row>
    <row r="256" spans="1:10">
      <c r="A256">
        <v>255</v>
      </c>
      <c r="B256" t="s">
        <v>37</v>
      </c>
      <c r="C256" t="e">
        <v>#N/A</v>
      </c>
      <c r="D256" t="s">
        <v>33</v>
      </c>
      <c r="E256" t="s">
        <v>45</v>
      </c>
      <c r="F256" t="s">
        <v>55</v>
      </c>
      <c r="G256" t="s">
        <v>65</v>
      </c>
      <c r="I256" t="s">
        <v>53</v>
      </c>
      <c r="J256">
        <v>0</v>
      </c>
    </row>
    <row r="257" spans="1:10">
      <c r="A257">
        <v>256</v>
      </c>
      <c r="B257" t="s">
        <v>37</v>
      </c>
      <c r="C257" t="e">
        <v>#N/A</v>
      </c>
      <c r="D257" t="s">
        <v>33</v>
      </c>
      <c r="E257" t="s">
        <v>45</v>
      </c>
      <c r="F257" t="s">
        <v>61</v>
      </c>
      <c r="G257" t="s">
        <v>65</v>
      </c>
      <c r="I257" t="s">
        <v>53</v>
      </c>
      <c r="J257">
        <v>0</v>
      </c>
    </row>
    <row r="258" spans="1:10">
      <c r="A258">
        <v>257</v>
      </c>
      <c r="B258" t="s">
        <v>36</v>
      </c>
      <c r="C258" t="e">
        <v>#N/A</v>
      </c>
      <c r="D258" t="s">
        <v>26</v>
      </c>
      <c r="E258" t="s">
        <v>45</v>
      </c>
      <c r="F258" t="s">
        <v>50</v>
      </c>
      <c r="G258" t="s">
        <v>64</v>
      </c>
      <c r="I258" t="s">
        <v>59</v>
      </c>
      <c r="J258">
        <v>0</v>
      </c>
    </row>
    <row r="259" spans="1:10">
      <c r="A259">
        <v>258</v>
      </c>
      <c r="B259" t="s">
        <v>36</v>
      </c>
      <c r="C259" t="e">
        <v>#N/A</v>
      </c>
      <c r="D259" t="s">
        <v>19</v>
      </c>
      <c r="E259" t="s">
        <v>40</v>
      </c>
      <c r="F259">
        <v>99999999</v>
      </c>
      <c r="G259">
        <v>99999999</v>
      </c>
      <c r="I259" t="s">
        <v>41</v>
      </c>
      <c r="J259">
        <v>0</v>
      </c>
    </row>
    <row r="260" spans="1:10">
      <c r="A260">
        <v>259</v>
      </c>
      <c r="B260" t="s">
        <v>36</v>
      </c>
      <c r="C260" t="e">
        <v>#N/A</v>
      </c>
      <c r="D260" t="s">
        <v>19</v>
      </c>
      <c r="E260" t="s">
        <v>40</v>
      </c>
      <c r="F260" t="s">
        <v>50</v>
      </c>
      <c r="G260" t="s">
        <v>41</v>
      </c>
      <c r="J260">
        <v>0</v>
      </c>
    </row>
    <row r="261" spans="1:10">
      <c r="A261">
        <v>260</v>
      </c>
      <c r="B261" t="s">
        <v>36</v>
      </c>
      <c r="C261" t="e">
        <v>#N/A</v>
      </c>
      <c r="D261" t="s">
        <v>19</v>
      </c>
      <c r="E261" t="s">
        <v>40</v>
      </c>
      <c r="F261" t="s">
        <v>41</v>
      </c>
      <c r="G261" t="s">
        <v>64</v>
      </c>
      <c r="I261" t="s">
        <v>41</v>
      </c>
      <c r="J261">
        <v>0</v>
      </c>
    </row>
    <row r="262" spans="1:10">
      <c r="A262">
        <v>261</v>
      </c>
      <c r="B262" t="s">
        <v>36</v>
      </c>
      <c r="C262" t="e">
        <v>#N/A</v>
      </c>
      <c r="D262" t="s">
        <v>30</v>
      </c>
      <c r="E262" t="s">
        <v>48</v>
      </c>
      <c r="F262" t="s">
        <v>41</v>
      </c>
      <c r="G262" t="s">
        <v>41</v>
      </c>
      <c r="J262">
        <v>0</v>
      </c>
    </row>
    <row r="263" spans="1:10">
      <c r="A263">
        <v>262</v>
      </c>
      <c r="B263" t="s">
        <v>36</v>
      </c>
      <c r="C263" t="e">
        <v>#N/A</v>
      </c>
      <c r="D263" t="s">
        <v>19</v>
      </c>
      <c r="E263" t="s">
        <v>40</v>
      </c>
      <c r="F263" t="s">
        <v>61</v>
      </c>
      <c r="G263">
        <v>99999999</v>
      </c>
      <c r="J263">
        <v>0</v>
      </c>
    </row>
    <row r="264" spans="1:10">
      <c r="A264">
        <v>263</v>
      </c>
      <c r="B264" t="s">
        <v>36</v>
      </c>
      <c r="C264" t="e">
        <v>#N/A</v>
      </c>
      <c r="D264" t="s">
        <v>33</v>
      </c>
      <c r="E264" t="s">
        <v>58</v>
      </c>
      <c r="F264" t="s">
        <v>41</v>
      </c>
      <c r="G264" t="s">
        <v>49</v>
      </c>
      <c r="J264">
        <v>0</v>
      </c>
    </row>
    <row r="265" spans="1:10">
      <c r="A265">
        <v>264</v>
      </c>
      <c r="B265" t="s">
        <v>36</v>
      </c>
      <c r="C265" t="e">
        <v>#N/A</v>
      </c>
      <c r="D265" t="s">
        <v>19</v>
      </c>
      <c r="E265" t="s">
        <v>48</v>
      </c>
      <c r="F265" t="s">
        <v>41</v>
      </c>
      <c r="G265" t="s">
        <v>41</v>
      </c>
      <c r="J265">
        <v>0</v>
      </c>
    </row>
    <row r="266" spans="1:10">
      <c r="A266">
        <v>265</v>
      </c>
      <c r="B266" t="s">
        <v>36</v>
      </c>
      <c r="C266" t="e">
        <v>#N/A</v>
      </c>
      <c r="D266" t="s">
        <v>19</v>
      </c>
      <c r="E266" t="s">
        <v>48</v>
      </c>
      <c r="F266" t="s">
        <v>41</v>
      </c>
      <c r="G266" t="s">
        <v>41</v>
      </c>
      <c r="J266">
        <v>0</v>
      </c>
    </row>
    <row r="267" spans="1:10">
      <c r="A267">
        <v>266</v>
      </c>
      <c r="B267" t="s">
        <v>36</v>
      </c>
      <c r="C267" t="e">
        <v>#N/A</v>
      </c>
      <c r="D267" t="s">
        <v>19</v>
      </c>
      <c r="E267" t="s">
        <v>45</v>
      </c>
      <c r="F267" t="s">
        <v>41</v>
      </c>
      <c r="G267" t="s">
        <v>64</v>
      </c>
      <c r="I267" t="s">
        <v>54</v>
      </c>
      <c r="J267">
        <v>0</v>
      </c>
    </row>
    <row r="268" spans="1:10">
      <c r="A268">
        <v>267</v>
      </c>
      <c r="B268" t="s">
        <v>36</v>
      </c>
      <c r="C268" t="e">
        <v>#N/A</v>
      </c>
      <c r="D268" t="s">
        <v>19</v>
      </c>
      <c r="E268" t="s">
        <v>40</v>
      </c>
      <c r="F268" t="s">
        <v>41</v>
      </c>
      <c r="G268">
        <v>99999999</v>
      </c>
      <c r="J268">
        <v>0</v>
      </c>
    </row>
    <row r="269" spans="1:10">
      <c r="A269">
        <v>268</v>
      </c>
      <c r="B269" t="s">
        <v>36</v>
      </c>
      <c r="C269" t="e">
        <v>#N/A</v>
      </c>
      <c r="D269" t="s">
        <v>19</v>
      </c>
      <c r="E269" t="s">
        <v>40</v>
      </c>
      <c r="F269" t="s">
        <v>41</v>
      </c>
      <c r="G269" t="s">
        <v>65</v>
      </c>
      <c r="I269" t="s">
        <v>47</v>
      </c>
      <c r="J269">
        <v>0</v>
      </c>
    </row>
    <row r="270" spans="1:10">
      <c r="A270">
        <v>269</v>
      </c>
      <c r="B270" t="s">
        <v>36</v>
      </c>
      <c r="C270" t="e">
        <v>#N/A</v>
      </c>
      <c r="D270" t="s">
        <v>19</v>
      </c>
      <c r="E270" t="s">
        <v>40</v>
      </c>
      <c r="F270" t="s">
        <v>41</v>
      </c>
      <c r="G270">
        <v>99999999</v>
      </c>
      <c r="J270">
        <v>0</v>
      </c>
    </row>
    <row r="271" spans="1:10">
      <c r="A271">
        <v>270</v>
      </c>
      <c r="B271" t="s">
        <v>36</v>
      </c>
      <c r="C271" t="e">
        <v>#N/A</v>
      </c>
      <c r="D271" t="s">
        <v>19</v>
      </c>
      <c r="E271" t="s">
        <v>48</v>
      </c>
      <c r="F271" t="s">
        <v>41</v>
      </c>
      <c r="G271" t="s">
        <v>49</v>
      </c>
      <c r="J271">
        <v>0</v>
      </c>
    </row>
    <row r="272" spans="1:10">
      <c r="A272">
        <v>271</v>
      </c>
      <c r="B272" t="s">
        <v>36</v>
      </c>
      <c r="C272" t="e">
        <v>#N/A</v>
      </c>
      <c r="D272" t="s">
        <v>19</v>
      </c>
      <c r="E272" t="s">
        <v>40</v>
      </c>
      <c r="F272" t="s">
        <v>41</v>
      </c>
      <c r="G272" t="s">
        <v>49</v>
      </c>
      <c r="J272">
        <v>0</v>
      </c>
    </row>
    <row r="273" spans="1:10">
      <c r="A273">
        <v>272</v>
      </c>
      <c r="B273" t="s">
        <v>36</v>
      </c>
      <c r="C273" t="e">
        <v>#N/A</v>
      </c>
      <c r="D273" t="s">
        <v>39</v>
      </c>
      <c r="F273" t="s">
        <v>60</v>
      </c>
      <c r="G273" t="s">
        <v>56</v>
      </c>
      <c r="J273">
        <v>0</v>
      </c>
    </row>
    <row r="274" spans="1:10">
      <c r="A274">
        <v>273</v>
      </c>
      <c r="B274" t="s">
        <v>36</v>
      </c>
      <c r="C274" t="e">
        <v>#N/A</v>
      </c>
      <c r="D274" t="s">
        <v>26</v>
      </c>
      <c r="F274" t="s">
        <v>60</v>
      </c>
      <c r="G274" t="s">
        <v>64</v>
      </c>
      <c r="J274">
        <v>0</v>
      </c>
    </row>
    <row r="275" spans="1:10">
      <c r="A275">
        <v>274</v>
      </c>
      <c r="B275" t="s">
        <v>36</v>
      </c>
      <c r="C275" t="e">
        <v>#N/A</v>
      </c>
      <c r="D275" t="s">
        <v>19</v>
      </c>
      <c r="J275">
        <v>0</v>
      </c>
    </row>
    <row r="276" spans="1:10">
      <c r="A276">
        <v>275</v>
      </c>
      <c r="B276" t="s">
        <v>36</v>
      </c>
      <c r="C276" t="e">
        <v>#N/A</v>
      </c>
      <c r="D276" t="s">
        <v>19</v>
      </c>
      <c r="E276" t="s">
        <v>42</v>
      </c>
      <c r="F276" t="s">
        <v>41</v>
      </c>
      <c r="G276" t="s">
        <v>65</v>
      </c>
      <c r="I276" t="s">
        <v>44</v>
      </c>
      <c r="J276">
        <v>0</v>
      </c>
    </row>
    <row r="277" spans="1:10">
      <c r="A277">
        <v>276</v>
      </c>
      <c r="B277" t="s">
        <v>36</v>
      </c>
      <c r="C277" t="e">
        <v>#N/A</v>
      </c>
      <c r="D277" t="s">
        <v>19</v>
      </c>
      <c r="E277" t="s">
        <v>40</v>
      </c>
      <c r="F277">
        <v>99999999</v>
      </c>
      <c r="G277">
        <v>99999999</v>
      </c>
      <c r="J277">
        <v>0</v>
      </c>
    </row>
    <row r="278" spans="1:10">
      <c r="A278">
        <v>277</v>
      </c>
      <c r="B278" t="s">
        <v>36</v>
      </c>
      <c r="C278" t="e">
        <v>#N/A</v>
      </c>
      <c r="D278" t="s">
        <v>19</v>
      </c>
      <c r="E278" t="s">
        <v>48</v>
      </c>
      <c r="F278">
        <v>99999999</v>
      </c>
      <c r="G278">
        <v>99999999</v>
      </c>
      <c r="J278">
        <v>0</v>
      </c>
    </row>
    <row r="279" spans="1:10">
      <c r="A279">
        <v>278</v>
      </c>
      <c r="B279" t="s">
        <v>36</v>
      </c>
      <c r="C279" t="e">
        <v>#N/A</v>
      </c>
      <c r="D279" t="s">
        <v>19</v>
      </c>
      <c r="E279" t="s">
        <v>58</v>
      </c>
      <c r="F279" t="s">
        <v>41</v>
      </c>
      <c r="G279" t="s">
        <v>65</v>
      </c>
      <c r="J279">
        <v>0</v>
      </c>
    </row>
    <row r="280" spans="1:10">
      <c r="A280">
        <v>279</v>
      </c>
      <c r="B280" t="s">
        <v>36</v>
      </c>
      <c r="C280" t="e">
        <v>#N/A</v>
      </c>
      <c r="D280" t="s">
        <v>19</v>
      </c>
      <c r="E280" t="s">
        <v>40</v>
      </c>
      <c r="F280">
        <v>99999999</v>
      </c>
      <c r="G280">
        <v>99999999</v>
      </c>
      <c r="I280" t="s">
        <v>41</v>
      </c>
      <c r="J280">
        <v>0</v>
      </c>
    </row>
    <row r="281" spans="1:10">
      <c r="A281">
        <v>280</v>
      </c>
      <c r="B281" t="s">
        <v>36</v>
      </c>
      <c r="C281" t="e">
        <v>#N/A</v>
      </c>
      <c r="D281" t="s">
        <v>19</v>
      </c>
      <c r="E281" t="s">
        <v>58</v>
      </c>
      <c r="F281" t="s">
        <v>41</v>
      </c>
      <c r="G281" t="s">
        <v>65</v>
      </c>
      <c r="J281">
        <v>1</v>
      </c>
    </row>
    <row r="282" spans="1:10">
      <c r="A282">
        <v>281</v>
      </c>
      <c r="B282" t="s">
        <v>36</v>
      </c>
      <c r="C282" t="e">
        <v>#N/A</v>
      </c>
      <c r="D282" t="s">
        <v>26</v>
      </c>
      <c r="E282" t="s">
        <v>58</v>
      </c>
      <c r="F282" t="s">
        <v>41</v>
      </c>
      <c r="G282" t="s">
        <v>65</v>
      </c>
      <c r="J282">
        <v>0</v>
      </c>
    </row>
    <row r="283" spans="1:10">
      <c r="A283">
        <v>282</v>
      </c>
      <c r="B283" t="s">
        <v>36</v>
      </c>
      <c r="C283" t="e">
        <v>#N/A</v>
      </c>
      <c r="D283" t="s">
        <v>26</v>
      </c>
      <c r="E283" t="s">
        <v>45</v>
      </c>
      <c r="F283" t="s">
        <v>60</v>
      </c>
      <c r="G283" t="s">
        <v>49</v>
      </c>
      <c r="I283" t="s">
        <v>53</v>
      </c>
      <c r="J283">
        <v>0</v>
      </c>
    </row>
    <row r="284" spans="1:10">
      <c r="A284">
        <v>283</v>
      </c>
      <c r="B284" t="s">
        <v>36</v>
      </c>
      <c r="C284" t="e">
        <v>#N/A</v>
      </c>
      <c r="D284" t="s">
        <v>19</v>
      </c>
      <c r="E284" t="s">
        <v>40</v>
      </c>
      <c r="F284" t="s">
        <v>41</v>
      </c>
      <c r="G284" t="s">
        <v>64</v>
      </c>
      <c r="I284" t="s">
        <v>44</v>
      </c>
      <c r="J284">
        <v>0</v>
      </c>
    </row>
    <row r="285" spans="1:10">
      <c r="A285">
        <v>284</v>
      </c>
      <c r="B285" t="s">
        <v>36</v>
      </c>
      <c r="C285" t="e">
        <v>#N/A</v>
      </c>
      <c r="D285" t="s">
        <v>32</v>
      </c>
      <c r="F285" t="s">
        <v>41</v>
      </c>
      <c r="G285">
        <v>99999999</v>
      </c>
      <c r="I285" t="s">
        <v>44</v>
      </c>
      <c r="J285">
        <v>0</v>
      </c>
    </row>
    <row r="286" spans="1:10">
      <c r="A286">
        <v>285</v>
      </c>
      <c r="B286" t="s">
        <v>36</v>
      </c>
      <c r="C286" t="e">
        <v>#N/A</v>
      </c>
      <c r="D286" t="s">
        <v>30</v>
      </c>
      <c r="E286" t="s">
        <v>42</v>
      </c>
      <c r="F286" t="s">
        <v>60</v>
      </c>
      <c r="G286" t="s">
        <v>56</v>
      </c>
      <c r="I286" t="s">
        <v>53</v>
      </c>
      <c r="J286">
        <v>0</v>
      </c>
    </row>
    <row r="287" spans="1:10">
      <c r="A287">
        <v>286</v>
      </c>
      <c r="B287" t="s">
        <v>36</v>
      </c>
      <c r="C287" t="e">
        <v>#N/A</v>
      </c>
      <c r="D287" t="s">
        <v>19</v>
      </c>
      <c r="E287" t="s">
        <v>45</v>
      </c>
      <c r="F287" t="s">
        <v>41</v>
      </c>
      <c r="G287" t="s">
        <v>56</v>
      </c>
      <c r="J287">
        <v>0</v>
      </c>
    </row>
    <row r="288" spans="1:10">
      <c r="A288">
        <v>287</v>
      </c>
      <c r="B288" t="s">
        <v>36</v>
      </c>
      <c r="C288" t="e">
        <v>#N/A</v>
      </c>
      <c r="D288" t="s">
        <v>19</v>
      </c>
      <c r="E288" t="s">
        <v>48</v>
      </c>
      <c r="F288">
        <v>99999999</v>
      </c>
      <c r="G288">
        <v>99999999</v>
      </c>
      <c r="J288">
        <v>0</v>
      </c>
    </row>
    <row r="289" spans="1:10">
      <c r="A289">
        <v>288</v>
      </c>
      <c r="B289" t="s">
        <v>36</v>
      </c>
      <c r="C289" t="e">
        <v>#N/A</v>
      </c>
      <c r="D289" t="s">
        <v>26</v>
      </c>
      <c r="E289" t="s">
        <v>40</v>
      </c>
      <c r="F289" t="s">
        <v>55</v>
      </c>
      <c r="G289" t="s">
        <v>64</v>
      </c>
      <c r="J289">
        <v>0</v>
      </c>
    </row>
    <row r="290" spans="1:10">
      <c r="A290">
        <v>289</v>
      </c>
      <c r="B290" t="s">
        <v>36</v>
      </c>
      <c r="C290" t="e">
        <v>#N/A</v>
      </c>
      <c r="D290" t="s">
        <v>38</v>
      </c>
      <c r="E290" t="s">
        <v>45</v>
      </c>
      <c r="F290" t="s">
        <v>41</v>
      </c>
      <c r="G290" t="s">
        <v>41</v>
      </c>
      <c r="I290" t="s">
        <v>44</v>
      </c>
      <c r="J290">
        <v>0</v>
      </c>
    </row>
    <row r="291" spans="1:10">
      <c r="A291">
        <v>290</v>
      </c>
      <c r="B291" t="s">
        <v>36</v>
      </c>
      <c r="C291" t="e">
        <v>#N/A</v>
      </c>
      <c r="D291" t="s">
        <v>26</v>
      </c>
      <c r="E291" t="s">
        <v>42</v>
      </c>
      <c r="F291" t="s">
        <v>41</v>
      </c>
      <c r="G291">
        <v>99999999</v>
      </c>
      <c r="J291">
        <v>0</v>
      </c>
    </row>
    <row r="292" spans="1:10">
      <c r="A292">
        <v>291</v>
      </c>
      <c r="B292" t="s">
        <v>36</v>
      </c>
      <c r="C292" t="e">
        <v>#N/A</v>
      </c>
      <c r="D292" t="s">
        <v>30</v>
      </c>
      <c r="E292" t="s">
        <v>42</v>
      </c>
      <c r="F292" t="s">
        <v>41</v>
      </c>
      <c r="G292" t="s">
        <v>65</v>
      </c>
      <c r="J292">
        <v>0</v>
      </c>
    </row>
    <row r="293" spans="1:10">
      <c r="A293">
        <v>292</v>
      </c>
      <c r="B293" t="s">
        <v>36</v>
      </c>
      <c r="C293" t="e">
        <v>#N/A</v>
      </c>
      <c r="D293" t="s">
        <v>39</v>
      </c>
      <c r="E293" t="s">
        <v>48</v>
      </c>
      <c r="F293" t="s">
        <v>41</v>
      </c>
      <c r="G293" t="s">
        <v>64</v>
      </c>
      <c r="J293">
        <v>0</v>
      </c>
    </row>
    <row r="294" spans="1:10">
      <c r="A294">
        <v>293</v>
      </c>
      <c r="B294" t="s">
        <v>36</v>
      </c>
      <c r="C294" t="e">
        <v>#N/A</v>
      </c>
      <c r="D294" t="s">
        <v>19</v>
      </c>
      <c r="E294" t="s">
        <v>42</v>
      </c>
      <c r="F294" t="s">
        <v>41</v>
      </c>
      <c r="G294" t="s">
        <v>65</v>
      </c>
      <c r="J294">
        <v>0</v>
      </c>
    </row>
    <row r="295" spans="1:10">
      <c r="A295">
        <v>294</v>
      </c>
      <c r="B295" t="s">
        <v>36</v>
      </c>
      <c r="C295" t="e">
        <v>#N/A</v>
      </c>
      <c r="D295" t="s">
        <v>19</v>
      </c>
      <c r="E295" t="s">
        <v>40</v>
      </c>
      <c r="F295" t="s">
        <v>41</v>
      </c>
      <c r="G295">
        <v>99999999</v>
      </c>
      <c r="I295" t="s">
        <v>41</v>
      </c>
      <c r="J295">
        <v>0</v>
      </c>
    </row>
    <row r="296" spans="1:10">
      <c r="A296">
        <v>295</v>
      </c>
      <c r="B296" t="s">
        <v>36</v>
      </c>
      <c r="C296" t="e">
        <v>#N/A</v>
      </c>
      <c r="D296" t="s">
        <v>19</v>
      </c>
      <c r="E296" t="s">
        <v>58</v>
      </c>
      <c r="F296" t="s">
        <v>41</v>
      </c>
      <c r="G296" t="s">
        <v>49</v>
      </c>
      <c r="I296" t="s">
        <v>53</v>
      </c>
      <c r="J296">
        <v>0</v>
      </c>
    </row>
    <row r="297" spans="1:10">
      <c r="A297">
        <v>296</v>
      </c>
      <c r="B297" t="s">
        <v>36</v>
      </c>
      <c r="C297" t="e">
        <v>#N/A</v>
      </c>
      <c r="D297" t="s">
        <v>19</v>
      </c>
      <c r="E297" t="s">
        <v>40</v>
      </c>
      <c r="F297">
        <v>99999999</v>
      </c>
      <c r="G297">
        <v>99999999</v>
      </c>
      <c r="J297">
        <v>0</v>
      </c>
    </row>
    <row r="298" spans="1:10">
      <c r="A298">
        <v>297</v>
      </c>
      <c r="B298" t="s">
        <v>37</v>
      </c>
      <c r="C298" t="e">
        <v>#N/A</v>
      </c>
      <c r="D298" t="s">
        <v>30</v>
      </c>
      <c r="E298" t="s">
        <v>45</v>
      </c>
      <c r="F298" t="s">
        <v>61</v>
      </c>
      <c r="G298" t="s">
        <v>65</v>
      </c>
      <c r="J298">
        <v>0</v>
      </c>
    </row>
    <row r="299" spans="1:10">
      <c r="A299">
        <v>298</v>
      </c>
      <c r="B299" t="s">
        <v>36</v>
      </c>
      <c r="C299" t="e">
        <v>#N/A</v>
      </c>
      <c r="D299" t="s">
        <v>19</v>
      </c>
      <c r="E299" t="s">
        <v>40</v>
      </c>
      <c r="F299" t="s">
        <v>41</v>
      </c>
      <c r="G299" t="s">
        <v>49</v>
      </c>
      <c r="J299">
        <v>0</v>
      </c>
    </row>
    <row r="300" spans="1:10">
      <c r="A300">
        <v>299</v>
      </c>
      <c r="B300" t="s">
        <v>37</v>
      </c>
      <c r="C300" t="e">
        <v>#N/A</v>
      </c>
      <c r="D300" t="s">
        <v>26</v>
      </c>
      <c r="E300" t="s">
        <v>45</v>
      </c>
      <c r="F300" t="s">
        <v>61</v>
      </c>
      <c r="G300" t="s">
        <v>49</v>
      </c>
      <c r="J300">
        <v>0</v>
      </c>
    </row>
    <row r="301" spans="1:10">
      <c r="A301">
        <v>300</v>
      </c>
      <c r="B301" t="s">
        <v>36</v>
      </c>
      <c r="C301" t="e">
        <v>#N/A</v>
      </c>
      <c r="D301" t="s">
        <v>19</v>
      </c>
      <c r="E301" t="s">
        <v>40</v>
      </c>
      <c r="F301" t="s">
        <v>41</v>
      </c>
      <c r="G301" t="s">
        <v>65</v>
      </c>
      <c r="J301">
        <v>0</v>
      </c>
    </row>
    <row r="302" spans="1:10">
      <c r="A302">
        <v>301</v>
      </c>
      <c r="B302" t="s">
        <v>36</v>
      </c>
      <c r="C302" t="e">
        <v>#N/A</v>
      </c>
      <c r="D302" t="s">
        <v>26</v>
      </c>
      <c r="F302" t="s">
        <v>60</v>
      </c>
      <c r="G302" t="s">
        <v>65</v>
      </c>
      <c r="J302">
        <v>0</v>
      </c>
    </row>
    <row r="303" spans="1:10">
      <c r="A303">
        <v>302</v>
      </c>
      <c r="B303" t="s">
        <v>36</v>
      </c>
      <c r="C303" t="e">
        <v>#N/A</v>
      </c>
      <c r="D303" t="s">
        <v>32</v>
      </c>
      <c r="F303">
        <v>99999999</v>
      </c>
      <c r="G303">
        <v>99999999</v>
      </c>
      <c r="J303">
        <v>0</v>
      </c>
    </row>
    <row r="304" spans="1:10">
      <c r="A304">
        <v>303</v>
      </c>
      <c r="B304" t="s">
        <v>36</v>
      </c>
      <c r="C304" t="e">
        <v>#N/A</v>
      </c>
      <c r="D304" t="s">
        <v>19</v>
      </c>
      <c r="E304" t="s">
        <v>58</v>
      </c>
      <c r="F304" t="s">
        <v>41</v>
      </c>
      <c r="G304" t="s">
        <v>64</v>
      </c>
      <c r="J304">
        <v>0</v>
      </c>
    </row>
    <row r="305" spans="1:10">
      <c r="A305">
        <v>304</v>
      </c>
      <c r="B305" t="s">
        <v>36</v>
      </c>
      <c r="C305" t="e">
        <v>#N/A</v>
      </c>
      <c r="D305" t="s">
        <v>19</v>
      </c>
      <c r="E305" t="s">
        <v>48</v>
      </c>
      <c r="F305" t="s">
        <v>50</v>
      </c>
      <c r="G305" t="s">
        <v>49</v>
      </c>
      <c r="J305">
        <v>0</v>
      </c>
    </row>
    <row r="306" spans="1:10">
      <c r="A306">
        <v>305</v>
      </c>
      <c r="B306" t="s">
        <v>36</v>
      </c>
      <c r="C306" t="e">
        <v>#N/A</v>
      </c>
      <c r="D306" t="s">
        <v>39</v>
      </c>
      <c r="E306" t="s">
        <v>45</v>
      </c>
      <c r="F306" t="s">
        <v>61</v>
      </c>
      <c r="G306" t="s">
        <v>49</v>
      </c>
      <c r="J306">
        <v>0</v>
      </c>
    </row>
    <row r="307" spans="1:10">
      <c r="A307">
        <v>306</v>
      </c>
      <c r="B307" t="s">
        <v>36</v>
      </c>
      <c r="C307" t="e">
        <v>#N/A</v>
      </c>
      <c r="D307" t="s">
        <v>19</v>
      </c>
      <c r="E307" t="s">
        <v>48</v>
      </c>
      <c r="F307" t="s">
        <v>55</v>
      </c>
      <c r="G307" t="s">
        <v>64</v>
      </c>
      <c r="I307" t="s">
        <v>62</v>
      </c>
      <c r="J307">
        <v>0</v>
      </c>
    </row>
    <row r="308" spans="1:10">
      <c r="A308">
        <v>307</v>
      </c>
      <c r="B308" t="s">
        <v>36</v>
      </c>
      <c r="C308" t="e">
        <v>#N/A</v>
      </c>
      <c r="D308" t="s">
        <v>30</v>
      </c>
      <c r="E308" t="s">
        <v>45</v>
      </c>
      <c r="F308" t="s">
        <v>41</v>
      </c>
      <c r="G308" t="s">
        <v>49</v>
      </c>
      <c r="I308" t="s">
        <v>41</v>
      </c>
      <c r="J308">
        <v>1</v>
      </c>
    </row>
    <row r="309" spans="1:10">
      <c r="A309">
        <v>308</v>
      </c>
      <c r="B309" t="s">
        <v>36</v>
      </c>
      <c r="C309" t="e">
        <v>#N/A</v>
      </c>
      <c r="D309" t="s">
        <v>19</v>
      </c>
      <c r="E309" t="s">
        <v>42</v>
      </c>
      <c r="F309" t="s">
        <v>41</v>
      </c>
      <c r="G309" t="s">
        <v>41</v>
      </c>
      <c r="J309">
        <v>0</v>
      </c>
    </row>
    <row r="310" spans="1:10">
      <c r="A310">
        <v>309</v>
      </c>
      <c r="B310" t="s">
        <v>36</v>
      </c>
      <c r="C310" t="e">
        <v>#N/A</v>
      </c>
      <c r="D310" t="s">
        <v>19</v>
      </c>
      <c r="E310" t="s">
        <v>48</v>
      </c>
      <c r="F310" t="s">
        <v>41</v>
      </c>
      <c r="G310" t="s">
        <v>41</v>
      </c>
      <c r="J310">
        <v>0</v>
      </c>
    </row>
    <row r="311" spans="1:10">
      <c r="A311">
        <v>310</v>
      </c>
      <c r="B311" t="s">
        <v>36</v>
      </c>
      <c r="C311" t="e">
        <v>#N/A</v>
      </c>
      <c r="D311" t="s">
        <v>19</v>
      </c>
      <c r="E311" t="s">
        <v>42</v>
      </c>
      <c r="F311" t="s">
        <v>41</v>
      </c>
      <c r="G311" t="s">
        <v>41</v>
      </c>
      <c r="J311">
        <v>0</v>
      </c>
    </row>
    <row r="312" spans="1:10">
      <c r="A312">
        <v>311</v>
      </c>
      <c r="B312" t="s">
        <v>36</v>
      </c>
      <c r="C312" t="e">
        <v>#N/A</v>
      </c>
      <c r="D312" t="s">
        <v>19</v>
      </c>
      <c r="E312" t="s">
        <v>48</v>
      </c>
      <c r="F312">
        <v>99999999</v>
      </c>
      <c r="G312">
        <v>99999999</v>
      </c>
      <c r="J312">
        <v>0</v>
      </c>
    </row>
    <row r="313" spans="1:10">
      <c r="A313">
        <v>312</v>
      </c>
      <c r="B313" t="s">
        <v>36</v>
      </c>
      <c r="C313" t="e">
        <v>#N/A</v>
      </c>
      <c r="D313" t="s">
        <v>19</v>
      </c>
      <c r="E313" t="s">
        <v>40</v>
      </c>
      <c r="F313">
        <v>99999999</v>
      </c>
      <c r="G313">
        <v>99999999</v>
      </c>
      <c r="J313">
        <v>0</v>
      </c>
    </row>
    <row r="314" spans="1:10">
      <c r="A314">
        <v>313</v>
      </c>
      <c r="B314" t="s">
        <v>36</v>
      </c>
      <c r="C314" t="e">
        <v>#N/A</v>
      </c>
      <c r="D314" t="s">
        <v>19</v>
      </c>
      <c r="E314" t="s">
        <v>58</v>
      </c>
      <c r="F314" t="s">
        <v>41</v>
      </c>
      <c r="G314" t="s">
        <v>64</v>
      </c>
      <c r="J314">
        <v>0</v>
      </c>
    </row>
    <row r="315" spans="1:10">
      <c r="A315">
        <v>314</v>
      </c>
      <c r="B315" t="s">
        <v>36</v>
      </c>
      <c r="C315" t="e">
        <v>#N/A</v>
      </c>
      <c r="D315" t="s">
        <v>19</v>
      </c>
      <c r="E315" t="s">
        <v>48</v>
      </c>
      <c r="F315" t="s">
        <v>55</v>
      </c>
      <c r="G315" t="s">
        <v>65</v>
      </c>
      <c r="J315">
        <v>0</v>
      </c>
    </row>
    <row r="316" spans="1:10">
      <c r="A316">
        <v>315</v>
      </c>
      <c r="B316" t="s">
        <v>36</v>
      </c>
      <c r="C316" t="e">
        <v>#N/A</v>
      </c>
      <c r="D316" t="s">
        <v>19</v>
      </c>
      <c r="E316" t="s">
        <v>58</v>
      </c>
      <c r="F316" t="s">
        <v>41</v>
      </c>
      <c r="G316" t="s">
        <v>64</v>
      </c>
      <c r="J316">
        <v>0</v>
      </c>
    </row>
    <row r="317" spans="1:10">
      <c r="A317">
        <v>316</v>
      </c>
      <c r="B317" t="s">
        <v>36</v>
      </c>
      <c r="C317" t="e">
        <v>#N/A</v>
      </c>
      <c r="D317" t="s">
        <v>30</v>
      </c>
      <c r="E317" t="s">
        <v>40</v>
      </c>
      <c r="F317" t="s">
        <v>41</v>
      </c>
      <c r="G317">
        <v>99999999</v>
      </c>
      <c r="J317">
        <v>0</v>
      </c>
    </row>
    <row r="318" spans="1:10">
      <c r="A318">
        <v>317</v>
      </c>
      <c r="B318" t="s">
        <v>36</v>
      </c>
      <c r="C318" t="e">
        <v>#N/A</v>
      </c>
      <c r="D318" t="s">
        <v>19</v>
      </c>
      <c r="E318" t="s">
        <v>58</v>
      </c>
      <c r="F318" t="s">
        <v>41</v>
      </c>
      <c r="G318">
        <v>99999999</v>
      </c>
      <c r="J318">
        <v>0</v>
      </c>
    </row>
    <row r="319" spans="1:10">
      <c r="A319">
        <v>318</v>
      </c>
      <c r="B319" t="s">
        <v>36</v>
      </c>
      <c r="C319" t="e">
        <v>#N/A</v>
      </c>
      <c r="D319" t="s">
        <v>19</v>
      </c>
      <c r="E319" t="s">
        <v>48</v>
      </c>
      <c r="F319" t="s">
        <v>55</v>
      </c>
      <c r="G319" t="s">
        <v>64</v>
      </c>
      <c r="J319">
        <v>0</v>
      </c>
    </row>
    <row r="320" spans="1:10">
      <c r="A320">
        <v>319</v>
      </c>
      <c r="B320" t="s">
        <v>36</v>
      </c>
      <c r="C320" t="e">
        <v>#N/A</v>
      </c>
      <c r="D320" t="s">
        <v>19</v>
      </c>
      <c r="E320" t="s">
        <v>45</v>
      </c>
      <c r="F320" t="s">
        <v>55</v>
      </c>
      <c r="G320" t="s">
        <v>41</v>
      </c>
      <c r="J320">
        <v>0</v>
      </c>
    </row>
    <row r="321" spans="1:10">
      <c r="A321">
        <v>320</v>
      </c>
      <c r="B321" t="s">
        <v>36</v>
      </c>
      <c r="C321" t="e">
        <v>#N/A</v>
      </c>
      <c r="D321" t="s">
        <v>19</v>
      </c>
      <c r="E321" t="s">
        <v>58</v>
      </c>
      <c r="F321" t="s">
        <v>41</v>
      </c>
      <c r="G321" t="s">
        <v>65</v>
      </c>
      <c r="J321">
        <v>0</v>
      </c>
    </row>
    <row r="322" spans="1:10">
      <c r="A322">
        <v>321</v>
      </c>
      <c r="B322" t="s">
        <v>36</v>
      </c>
      <c r="C322" t="e">
        <v>#N/A</v>
      </c>
      <c r="D322" t="s">
        <v>34</v>
      </c>
      <c r="E322" t="s">
        <v>40</v>
      </c>
      <c r="F322">
        <v>99999999</v>
      </c>
      <c r="G322">
        <v>99999999</v>
      </c>
      <c r="J322">
        <v>0</v>
      </c>
    </row>
    <row r="323" spans="1:10">
      <c r="A323">
        <v>322</v>
      </c>
      <c r="B323" t="s">
        <v>36</v>
      </c>
      <c r="C323" t="e">
        <v>#N/A</v>
      </c>
      <c r="D323" t="s">
        <v>34</v>
      </c>
      <c r="E323" t="s">
        <v>40</v>
      </c>
      <c r="F323">
        <v>99999999</v>
      </c>
      <c r="G323">
        <v>99999999</v>
      </c>
      <c r="J323">
        <v>0</v>
      </c>
    </row>
    <row r="324" spans="1:10">
      <c r="A324">
        <v>323</v>
      </c>
      <c r="B324" t="s">
        <v>36</v>
      </c>
      <c r="C324" t="e">
        <v>#N/A</v>
      </c>
      <c r="D324" t="s">
        <v>26</v>
      </c>
      <c r="E324" t="s">
        <v>45</v>
      </c>
      <c r="F324" t="s">
        <v>41</v>
      </c>
      <c r="G324" t="s">
        <v>49</v>
      </c>
      <c r="J324">
        <v>0</v>
      </c>
    </row>
    <row r="325" spans="1:10">
      <c r="A325">
        <v>324</v>
      </c>
      <c r="B325" t="s">
        <v>36</v>
      </c>
      <c r="C325" t="e">
        <v>#N/A</v>
      </c>
      <c r="D325" t="s">
        <v>30</v>
      </c>
      <c r="E325" t="s">
        <v>58</v>
      </c>
      <c r="F325">
        <v>99999999</v>
      </c>
      <c r="G325" t="s">
        <v>41</v>
      </c>
      <c r="J325">
        <v>0</v>
      </c>
    </row>
    <row r="326" spans="1:10">
      <c r="A326">
        <v>325</v>
      </c>
      <c r="B326" t="s">
        <v>17</v>
      </c>
      <c r="C326" t="s">
        <v>18</v>
      </c>
      <c r="D326" t="s">
        <v>19</v>
      </c>
      <c r="E326" t="s">
        <v>40</v>
      </c>
      <c r="F326" t="s">
        <v>41</v>
      </c>
      <c r="G326" t="s">
        <v>41</v>
      </c>
      <c r="H326">
        <v>99999998</v>
      </c>
      <c r="I326" t="s">
        <v>41</v>
      </c>
      <c r="J326">
        <v>0</v>
      </c>
    </row>
    <row r="327" spans="1:10">
      <c r="A327">
        <v>326</v>
      </c>
      <c r="B327" t="s">
        <v>36</v>
      </c>
      <c r="C327" t="e">
        <v>#N/A</v>
      </c>
      <c r="D327" t="s">
        <v>34</v>
      </c>
      <c r="J327">
        <v>0</v>
      </c>
    </row>
    <row r="328" spans="1:10">
      <c r="A328">
        <v>327</v>
      </c>
      <c r="B328" t="s">
        <v>36</v>
      </c>
      <c r="C328" t="e">
        <v>#N/A</v>
      </c>
      <c r="D328" t="s">
        <v>19</v>
      </c>
      <c r="E328" t="s">
        <v>45</v>
      </c>
      <c r="F328" t="s">
        <v>55</v>
      </c>
      <c r="G328" t="s">
        <v>65</v>
      </c>
      <c r="I328" t="s">
        <v>52</v>
      </c>
      <c r="J328">
        <v>0</v>
      </c>
    </row>
    <row r="329" spans="1:10">
      <c r="A329">
        <v>328</v>
      </c>
      <c r="B329" t="s">
        <v>17</v>
      </c>
      <c r="C329" t="s">
        <v>18</v>
      </c>
      <c r="D329" t="s">
        <v>19</v>
      </c>
      <c r="E329" t="s">
        <v>42</v>
      </c>
      <c r="F329" t="s">
        <v>55</v>
      </c>
      <c r="G329" t="s">
        <v>56</v>
      </c>
      <c r="H329">
        <v>99999998</v>
      </c>
      <c r="I329" t="s">
        <v>47</v>
      </c>
      <c r="J329">
        <v>0</v>
      </c>
    </row>
    <row r="330" spans="1:10">
      <c r="A330">
        <v>329</v>
      </c>
      <c r="B330" t="s">
        <v>17</v>
      </c>
      <c r="C330" t="s">
        <v>18</v>
      </c>
      <c r="D330" t="s">
        <v>19</v>
      </c>
      <c r="E330" t="s">
        <v>58</v>
      </c>
      <c r="F330" t="s">
        <v>50</v>
      </c>
      <c r="H330">
        <v>99999998</v>
      </c>
      <c r="I330" t="s">
        <v>59</v>
      </c>
      <c r="J330">
        <v>0</v>
      </c>
    </row>
    <row r="331" spans="1:10">
      <c r="A331">
        <v>330</v>
      </c>
      <c r="B331" t="s">
        <v>17</v>
      </c>
      <c r="C331" t="s">
        <v>18</v>
      </c>
      <c r="D331" t="s">
        <v>29</v>
      </c>
      <c r="E331" t="s">
        <v>48</v>
      </c>
      <c r="F331" t="s">
        <v>41</v>
      </c>
      <c r="G331" t="s">
        <v>41</v>
      </c>
      <c r="H331" t="s">
        <v>43</v>
      </c>
      <c r="I331" t="s">
        <v>54</v>
      </c>
      <c r="J331">
        <v>0</v>
      </c>
    </row>
    <row r="332" spans="1:10">
      <c r="A332">
        <v>331</v>
      </c>
      <c r="B332" t="s">
        <v>17</v>
      </c>
      <c r="C332" t="s">
        <v>18</v>
      </c>
      <c r="D332" t="s">
        <v>19</v>
      </c>
      <c r="E332" t="s">
        <v>45</v>
      </c>
      <c r="F332" t="s">
        <v>55</v>
      </c>
      <c r="G332" t="s">
        <v>41</v>
      </c>
      <c r="H332" t="s">
        <v>41</v>
      </c>
      <c r="I332" t="s">
        <v>52</v>
      </c>
      <c r="J332">
        <v>0</v>
      </c>
    </row>
    <row r="333" spans="1:10">
      <c r="A333">
        <v>332</v>
      </c>
      <c r="B333" t="s">
        <v>17</v>
      </c>
      <c r="C333" t="s">
        <v>18</v>
      </c>
      <c r="D333" t="s">
        <v>19</v>
      </c>
      <c r="E333" t="s">
        <v>45</v>
      </c>
      <c r="F333" t="s">
        <v>55</v>
      </c>
      <c r="G333" t="s">
        <v>41</v>
      </c>
      <c r="H333" t="s">
        <v>51</v>
      </c>
      <c r="I333" t="s">
        <v>47</v>
      </c>
      <c r="J333">
        <v>0</v>
      </c>
    </row>
    <row r="334" spans="1:10">
      <c r="A334">
        <v>333</v>
      </c>
      <c r="B334" t="s">
        <v>17</v>
      </c>
      <c r="C334" t="s">
        <v>18</v>
      </c>
      <c r="D334" t="s">
        <v>19</v>
      </c>
      <c r="E334" t="s">
        <v>40</v>
      </c>
      <c r="F334" t="s">
        <v>41</v>
      </c>
      <c r="G334" t="s">
        <v>49</v>
      </c>
      <c r="H334">
        <v>99999998</v>
      </c>
      <c r="I334" t="s">
        <v>47</v>
      </c>
      <c r="J334">
        <v>0</v>
      </c>
    </row>
    <row r="335" spans="1:10">
      <c r="A335">
        <v>334</v>
      </c>
      <c r="B335" t="s">
        <v>36</v>
      </c>
      <c r="C335" t="e">
        <v>#N/A</v>
      </c>
      <c r="D335" t="s">
        <v>19</v>
      </c>
      <c r="E335" t="s">
        <v>40</v>
      </c>
      <c r="F335" t="s">
        <v>41</v>
      </c>
      <c r="G335">
        <v>99999999</v>
      </c>
      <c r="I335" t="s">
        <v>41</v>
      </c>
      <c r="J335">
        <v>0</v>
      </c>
    </row>
    <row r="336" spans="1:10">
      <c r="A336">
        <v>335</v>
      </c>
      <c r="B336" t="s">
        <v>36</v>
      </c>
      <c r="C336" t="e">
        <v>#N/A</v>
      </c>
      <c r="D336" t="s">
        <v>19</v>
      </c>
      <c r="E336" t="s">
        <v>40</v>
      </c>
      <c r="F336">
        <v>99999999</v>
      </c>
      <c r="G336">
        <v>99999999</v>
      </c>
      <c r="H336">
        <v>99999999</v>
      </c>
      <c r="J336">
        <v>0</v>
      </c>
    </row>
    <row r="337" spans="1:10">
      <c r="A337">
        <v>336</v>
      </c>
      <c r="B337" t="s">
        <v>36</v>
      </c>
      <c r="C337" t="e">
        <v>#N/A</v>
      </c>
      <c r="D337" t="s">
        <v>34</v>
      </c>
      <c r="J337">
        <v>0</v>
      </c>
    </row>
    <row r="338" spans="1:10">
      <c r="A338">
        <v>337</v>
      </c>
      <c r="B338" t="s">
        <v>17</v>
      </c>
      <c r="C338" t="s">
        <v>25</v>
      </c>
      <c r="D338" t="s">
        <v>19</v>
      </c>
      <c r="E338" t="s">
        <v>48</v>
      </c>
      <c r="F338" t="s">
        <v>41</v>
      </c>
      <c r="G338" t="s">
        <v>41</v>
      </c>
      <c r="H338" t="s">
        <v>43</v>
      </c>
      <c r="I338" t="s">
        <v>54</v>
      </c>
      <c r="J338">
        <v>0</v>
      </c>
    </row>
    <row r="339" spans="1:10">
      <c r="A339">
        <v>338</v>
      </c>
      <c r="B339" t="s">
        <v>17</v>
      </c>
      <c r="C339" t="s">
        <v>25</v>
      </c>
      <c r="D339" t="s">
        <v>19</v>
      </c>
      <c r="E339" t="s">
        <v>58</v>
      </c>
      <c r="F339" t="s">
        <v>41</v>
      </c>
      <c r="G339" t="s">
        <v>41</v>
      </c>
      <c r="H339">
        <v>99999998</v>
      </c>
      <c r="I339" t="s">
        <v>41</v>
      </c>
      <c r="J339">
        <v>0</v>
      </c>
    </row>
    <row r="340" spans="1:10">
      <c r="A340">
        <v>339</v>
      </c>
      <c r="B340" t="s">
        <v>22</v>
      </c>
      <c r="C340" t="s">
        <v>25</v>
      </c>
      <c r="D340" t="s">
        <v>33</v>
      </c>
      <c r="E340" t="s">
        <v>42</v>
      </c>
      <c r="F340" t="s">
        <v>41</v>
      </c>
      <c r="G340" t="s">
        <v>41</v>
      </c>
      <c r="H340" t="s">
        <v>41</v>
      </c>
      <c r="I340" t="s">
        <v>41</v>
      </c>
      <c r="J340">
        <v>0</v>
      </c>
    </row>
    <row r="341" spans="1:10">
      <c r="A341">
        <v>340</v>
      </c>
      <c r="B341" t="s">
        <v>22</v>
      </c>
      <c r="C341" t="s">
        <v>25</v>
      </c>
      <c r="D341" t="s">
        <v>33</v>
      </c>
      <c r="E341" t="s">
        <v>45</v>
      </c>
      <c r="F341" t="s">
        <v>41</v>
      </c>
      <c r="G341" t="s">
        <v>41</v>
      </c>
      <c r="H341" t="s">
        <v>57</v>
      </c>
      <c r="I341" t="s">
        <v>41</v>
      </c>
      <c r="J341">
        <v>0</v>
      </c>
    </row>
    <row r="342" spans="1:10">
      <c r="A342">
        <v>341</v>
      </c>
      <c r="B342" t="s">
        <v>17</v>
      </c>
      <c r="C342" t="s">
        <v>23</v>
      </c>
      <c r="D342" t="s">
        <v>19</v>
      </c>
      <c r="E342" t="s">
        <v>48</v>
      </c>
      <c r="F342" t="s">
        <v>41</v>
      </c>
      <c r="G342" t="s">
        <v>41</v>
      </c>
      <c r="H342">
        <v>99999998</v>
      </c>
      <c r="I342" t="s">
        <v>41</v>
      </c>
      <c r="J342">
        <v>0</v>
      </c>
    </row>
    <row r="343" spans="1:10">
      <c r="A343">
        <v>342</v>
      </c>
      <c r="B343" t="s">
        <v>17</v>
      </c>
      <c r="C343" t="s">
        <v>25</v>
      </c>
      <c r="D343" t="s">
        <v>19</v>
      </c>
      <c r="E343" t="s">
        <v>58</v>
      </c>
      <c r="F343" t="s">
        <v>41</v>
      </c>
      <c r="G343" t="s">
        <v>41</v>
      </c>
      <c r="H343">
        <v>99999998</v>
      </c>
      <c r="I343" t="s">
        <v>52</v>
      </c>
      <c r="J343">
        <v>0</v>
      </c>
    </row>
    <row r="344" spans="1:10">
      <c r="A344">
        <v>343</v>
      </c>
      <c r="B344" t="s">
        <v>17</v>
      </c>
      <c r="C344" t="s">
        <v>23</v>
      </c>
      <c r="D344" t="s">
        <v>19</v>
      </c>
      <c r="E344" t="s">
        <v>48</v>
      </c>
      <c r="F344" t="s">
        <v>61</v>
      </c>
      <c r="G344" t="s">
        <v>41</v>
      </c>
      <c r="H344" t="s">
        <v>63</v>
      </c>
      <c r="I344" t="s">
        <v>53</v>
      </c>
      <c r="J344">
        <v>0</v>
      </c>
    </row>
    <row r="345" spans="1:10">
      <c r="A345">
        <v>344</v>
      </c>
      <c r="B345" t="s">
        <v>17</v>
      </c>
      <c r="C345" t="s">
        <v>18</v>
      </c>
      <c r="D345" t="s">
        <v>19</v>
      </c>
      <c r="E345" t="s">
        <v>48</v>
      </c>
      <c r="F345" t="s">
        <v>60</v>
      </c>
      <c r="G345" t="s">
        <v>41</v>
      </c>
      <c r="H345">
        <v>99999998</v>
      </c>
      <c r="I345" t="s">
        <v>53</v>
      </c>
      <c r="J345">
        <v>0</v>
      </c>
    </row>
    <row r="346" spans="1:10">
      <c r="A346">
        <v>345</v>
      </c>
      <c r="B346" t="s">
        <v>17</v>
      </c>
      <c r="C346" t="s">
        <v>25</v>
      </c>
      <c r="D346" t="s">
        <v>26</v>
      </c>
      <c r="E346" t="s">
        <v>42</v>
      </c>
      <c r="F346" t="s">
        <v>41</v>
      </c>
      <c r="G346" t="s">
        <v>41</v>
      </c>
      <c r="H346" t="s">
        <v>41</v>
      </c>
      <c r="I346" t="s">
        <v>52</v>
      </c>
      <c r="J346">
        <v>0</v>
      </c>
    </row>
    <row r="347" spans="1:10">
      <c r="A347">
        <v>346</v>
      </c>
      <c r="B347" t="s">
        <v>17</v>
      </c>
      <c r="C347" t="s">
        <v>25</v>
      </c>
      <c r="D347" t="s">
        <v>26</v>
      </c>
      <c r="E347" t="s">
        <v>45</v>
      </c>
      <c r="F347" t="s">
        <v>41</v>
      </c>
      <c r="G347" t="s">
        <v>41</v>
      </c>
      <c r="H347" t="s">
        <v>57</v>
      </c>
      <c r="I347" t="s">
        <v>54</v>
      </c>
      <c r="J347">
        <v>0</v>
      </c>
    </row>
    <row r="348" spans="1:10">
      <c r="A348">
        <v>347</v>
      </c>
      <c r="B348" t="s">
        <v>17</v>
      </c>
      <c r="C348" t="s">
        <v>18</v>
      </c>
      <c r="D348" t="s">
        <v>19</v>
      </c>
      <c r="E348" t="s">
        <v>58</v>
      </c>
      <c r="F348" t="s">
        <v>50</v>
      </c>
      <c r="G348" t="s">
        <v>65</v>
      </c>
      <c r="H348">
        <v>99999998</v>
      </c>
      <c r="I348" t="s">
        <v>52</v>
      </c>
      <c r="J348">
        <v>0</v>
      </c>
    </row>
    <row r="349" spans="1:10">
      <c r="A349">
        <v>348</v>
      </c>
      <c r="B349" t="s">
        <v>17</v>
      </c>
      <c r="C349" t="s">
        <v>18</v>
      </c>
      <c r="D349" t="s">
        <v>19</v>
      </c>
      <c r="E349" t="s">
        <v>42</v>
      </c>
      <c r="F349" t="s">
        <v>55</v>
      </c>
      <c r="G349" t="s">
        <v>56</v>
      </c>
      <c r="H349">
        <v>99999998</v>
      </c>
      <c r="I349" t="s">
        <v>47</v>
      </c>
      <c r="J349">
        <v>0</v>
      </c>
    </row>
    <row r="350" spans="1:10">
      <c r="A350">
        <v>349</v>
      </c>
      <c r="B350" t="s">
        <v>17</v>
      </c>
      <c r="C350" t="s">
        <v>18</v>
      </c>
      <c r="D350" t="s">
        <v>19</v>
      </c>
      <c r="E350" t="s">
        <v>58</v>
      </c>
      <c r="F350" t="s">
        <v>50</v>
      </c>
      <c r="G350" t="s">
        <v>64</v>
      </c>
      <c r="H350">
        <v>99999998</v>
      </c>
      <c r="I350" t="s">
        <v>62</v>
      </c>
      <c r="J350">
        <v>0</v>
      </c>
    </row>
    <row r="351" spans="1:10">
      <c r="A351">
        <v>350</v>
      </c>
      <c r="B351" t="s">
        <v>17</v>
      </c>
      <c r="C351" t="s">
        <v>18</v>
      </c>
      <c r="D351" t="s">
        <v>19</v>
      </c>
      <c r="E351" t="s">
        <v>48</v>
      </c>
      <c r="F351" t="s">
        <v>61</v>
      </c>
      <c r="G351" t="s">
        <v>41</v>
      </c>
      <c r="H351" t="s">
        <v>63</v>
      </c>
      <c r="I351" t="s">
        <v>62</v>
      </c>
      <c r="J351">
        <v>0</v>
      </c>
    </row>
    <row r="352" spans="1:10">
      <c r="A352">
        <v>351</v>
      </c>
      <c r="B352" t="s">
        <v>17</v>
      </c>
      <c r="C352" t="s">
        <v>18</v>
      </c>
      <c r="D352" t="s">
        <v>19</v>
      </c>
      <c r="E352" t="s">
        <v>45</v>
      </c>
      <c r="F352" t="s">
        <v>61</v>
      </c>
      <c r="G352" t="s">
        <v>65</v>
      </c>
      <c r="H352" t="s">
        <v>63</v>
      </c>
      <c r="I352" t="s">
        <v>62</v>
      </c>
      <c r="J352">
        <v>0</v>
      </c>
    </row>
    <row r="353" spans="1:10">
      <c r="A353">
        <v>352</v>
      </c>
      <c r="B353" t="s">
        <v>17</v>
      </c>
      <c r="C353" t="s">
        <v>18</v>
      </c>
      <c r="D353" t="s">
        <v>19</v>
      </c>
      <c r="E353" t="s">
        <v>45</v>
      </c>
      <c r="F353" t="s">
        <v>61</v>
      </c>
      <c r="G353" t="s">
        <v>56</v>
      </c>
      <c r="H353" t="s">
        <v>43</v>
      </c>
      <c r="I353" t="s">
        <v>47</v>
      </c>
      <c r="J353">
        <v>0</v>
      </c>
    </row>
    <row r="354" spans="1:10">
      <c r="A354">
        <v>353</v>
      </c>
      <c r="B354" t="s">
        <v>17</v>
      </c>
      <c r="C354" t="s">
        <v>18</v>
      </c>
      <c r="D354" t="s">
        <v>19</v>
      </c>
      <c r="E354" t="s">
        <v>45</v>
      </c>
      <c r="F354">
        <v>99999999</v>
      </c>
      <c r="G354" t="s">
        <v>65</v>
      </c>
      <c r="H354" t="s">
        <v>41</v>
      </c>
      <c r="I354" t="s">
        <v>62</v>
      </c>
      <c r="J354">
        <v>0</v>
      </c>
    </row>
    <row r="355" spans="1:10">
      <c r="A355">
        <v>354</v>
      </c>
      <c r="B355" t="s">
        <v>17</v>
      </c>
      <c r="C355" t="s">
        <v>18</v>
      </c>
      <c r="D355" t="s">
        <v>19</v>
      </c>
      <c r="E355" t="s">
        <v>45</v>
      </c>
      <c r="F355" t="s">
        <v>61</v>
      </c>
      <c r="G355" t="s">
        <v>65</v>
      </c>
      <c r="H355" t="s">
        <v>51</v>
      </c>
      <c r="I355" t="s">
        <v>47</v>
      </c>
      <c r="J355">
        <v>0</v>
      </c>
    </row>
    <row r="356" spans="1:10">
      <c r="A356">
        <v>355</v>
      </c>
      <c r="B356" t="s">
        <v>17</v>
      </c>
      <c r="C356" t="s">
        <v>18</v>
      </c>
      <c r="D356" t="s">
        <v>19</v>
      </c>
      <c r="E356" t="s">
        <v>48</v>
      </c>
      <c r="F356" t="s">
        <v>61</v>
      </c>
      <c r="G356" t="s">
        <v>64</v>
      </c>
      <c r="H356" t="s">
        <v>66</v>
      </c>
      <c r="I356" t="s">
        <v>59</v>
      </c>
      <c r="J356">
        <v>0</v>
      </c>
    </row>
    <row r="357" spans="1:10">
      <c r="A357">
        <v>356</v>
      </c>
      <c r="B357" t="s">
        <v>36</v>
      </c>
      <c r="C357" t="e">
        <v>#N/A</v>
      </c>
      <c r="D357" t="s">
        <v>32</v>
      </c>
      <c r="E357" t="s">
        <v>42</v>
      </c>
      <c r="F357" t="s">
        <v>41</v>
      </c>
      <c r="G357" t="s">
        <v>49</v>
      </c>
      <c r="I357" t="s">
        <v>41</v>
      </c>
      <c r="J357">
        <v>0</v>
      </c>
    </row>
    <row r="358" spans="1:10">
      <c r="A358">
        <v>357</v>
      </c>
      <c r="B358" t="s">
        <v>36</v>
      </c>
      <c r="C358" t="e">
        <v>#N/A</v>
      </c>
      <c r="D358" t="s">
        <v>19</v>
      </c>
      <c r="E358" t="s">
        <v>40</v>
      </c>
      <c r="F358" t="s">
        <v>55</v>
      </c>
      <c r="G358">
        <v>99999999</v>
      </c>
      <c r="I358" t="s">
        <v>52</v>
      </c>
      <c r="J358">
        <v>0</v>
      </c>
    </row>
    <row r="359" spans="1:10">
      <c r="A359">
        <v>358</v>
      </c>
      <c r="B359" t="s">
        <v>36</v>
      </c>
      <c r="C359" t="e">
        <v>#N/A</v>
      </c>
      <c r="D359" t="s">
        <v>19</v>
      </c>
      <c r="E359" t="s">
        <v>58</v>
      </c>
      <c r="F359" t="s">
        <v>55</v>
      </c>
      <c r="G359" t="s">
        <v>49</v>
      </c>
      <c r="I359" t="s">
        <v>53</v>
      </c>
      <c r="J359">
        <v>0</v>
      </c>
    </row>
    <row r="360" spans="1:10">
      <c r="A360">
        <v>359</v>
      </c>
      <c r="B360" t="s">
        <v>36</v>
      </c>
      <c r="C360" t="e">
        <v>#N/A</v>
      </c>
      <c r="D360" t="s">
        <v>19</v>
      </c>
      <c r="E360" t="s">
        <v>58</v>
      </c>
      <c r="F360" t="s">
        <v>41</v>
      </c>
      <c r="G360" t="s">
        <v>41</v>
      </c>
      <c r="I360" t="s">
        <v>54</v>
      </c>
      <c r="J360">
        <v>0</v>
      </c>
    </row>
    <row r="361" spans="1:10">
      <c r="A361">
        <v>360</v>
      </c>
      <c r="B361" t="s">
        <v>36</v>
      </c>
      <c r="C361" t="e">
        <v>#N/A</v>
      </c>
      <c r="D361" t="s">
        <v>39</v>
      </c>
      <c r="E361" t="s">
        <v>42</v>
      </c>
      <c r="F361" t="s">
        <v>55</v>
      </c>
      <c r="G361" t="s">
        <v>41</v>
      </c>
      <c r="I361" t="s">
        <v>52</v>
      </c>
      <c r="J361">
        <v>0</v>
      </c>
    </row>
    <row r="362" spans="1:10">
      <c r="A362">
        <v>361</v>
      </c>
      <c r="B362" t="s">
        <v>36</v>
      </c>
      <c r="C362" t="e">
        <v>#N/A</v>
      </c>
      <c r="D362" t="s">
        <v>19</v>
      </c>
      <c r="E362" t="s">
        <v>58</v>
      </c>
      <c r="F362" t="s">
        <v>41</v>
      </c>
      <c r="G362" t="s">
        <v>41</v>
      </c>
      <c r="I362" t="s">
        <v>44</v>
      </c>
      <c r="J362">
        <v>0</v>
      </c>
    </row>
    <row r="363" spans="1:10">
      <c r="A363">
        <v>362</v>
      </c>
      <c r="B363" t="s">
        <v>36</v>
      </c>
      <c r="C363" t="e">
        <v>#N/A</v>
      </c>
      <c r="D363" t="s">
        <v>19</v>
      </c>
      <c r="E363" t="s">
        <v>58</v>
      </c>
      <c r="F363" t="s">
        <v>41</v>
      </c>
      <c r="G363" t="s">
        <v>49</v>
      </c>
      <c r="I363" t="s">
        <v>41</v>
      </c>
      <c r="J363">
        <v>0</v>
      </c>
    </row>
    <row r="364" spans="1:10">
      <c r="A364">
        <v>363</v>
      </c>
      <c r="B364" t="s">
        <v>36</v>
      </c>
      <c r="C364" t="e">
        <v>#N/A</v>
      </c>
      <c r="D364" t="s">
        <v>19</v>
      </c>
      <c r="E364" t="s">
        <v>42</v>
      </c>
      <c r="F364" t="s">
        <v>41</v>
      </c>
      <c r="G364" t="s">
        <v>41</v>
      </c>
      <c r="I364" t="s">
        <v>41</v>
      </c>
      <c r="J364">
        <v>0</v>
      </c>
    </row>
    <row r="365" spans="1:10">
      <c r="A365">
        <v>364</v>
      </c>
      <c r="B365" t="s">
        <v>36</v>
      </c>
      <c r="C365" t="e">
        <v>#N/A</v>
      </c>
      <c r="D365" t="s">
        <v>30</v>
      </c>
      <c r="E365" t="s">
        <v>40</v>
      </c>
      <c r="F365" t="s">
        <v>41</v>
      </c>
      <c r="G365" t="s">
        <v>41</v>
      </c>
      <c r="I365" t="s">
        <v>52</v>
      </c>
      <c r="J365">
        <v>0</v>
      </c>
    </row>
    <row r="366" spans="1:10">
      <c r="A366">
        <v>365</v>
      </c>
      <c r="B366" t="s">
        <v>36</v>
      </c>
      <c r="C366" t="e">
        <v>#N/A</v>
      </c>
      <c r="D366" t="s">
        <v>19</v>
      </c>
      <c r="E366" t="s">
        <v>40</v>
      </c>
      <c r="F366">
        <v>99999999</v>
      </c>
      <c r="G366">
        <v>99999999</v>
      </c>
      <c r="I366" t="s">
        <v>44</v>
      </c>
      <c r="J366">
        <v>0</v>
      </c>
    </row>
    <row r="367" spans="1:10">
      <c r="A367">
        <v>366</v>
      </c>
      <c r="B367" t="s">
        <v>36</v>
      </c>
      <c r="C367" t="e">
        <v>#N/A</v>
      </c>
      <c r="D367" t="s">
        <v>19</v>
      </c>
      <c r="E367" t="s">
        <v>48</v>
      </c>
      <c r="F367" t="s">
        <v>41</v>
      </c>
      <c r="G367" t="s">
        <v>41</v>
      </c>
      <c r="H367">
        <v>99999999</v>
      </c>
      <c r="I367" t="s">
        <v>41</v>
      </c>
      <c r="J367">
        <v>0</v>
      </c>
    </row>
    <row r="368" spans="1:10">
      <c r="A368">
        <v>367</v>
      </c>
      <c r="B368" t="s">
        <v>36</v>
      </c>
      <c r="C368" t="e">
        <v>#N/A</v>
      </c>
      <c r="D368" t="s">
        <v>19</v>
      </c>
      <c r="E368" t="s">
        <v>40</v>
      </c>
      <c r="F368">
        <v>99999999</v>
      </c>
      <c r="G368">
        <v>99999999</v>
      </c>
      <c r="J368">
        <v>0</v>
      </c>
    </row>
    <row r="369" spans="1:10">
      <c r="A369">
        <v>368</v>
      </c>
      <c r="B369" t="s">
        <v>36</v>
      </c>
      <c r="C369" t="e">
        <v>#N/A</v>
      </c>
      <c r="D369" t="s">
        <v>19</v>
      </c>
      <c r="E369" t="s">
        <v>58</v>
      </c>
      <c r="F369" t="s">
        <v>41</v>
      </c>
      <c r="G369" t="s">
        <v>41</v>
      </c>
      <c r="J369">
        <v>0</v>
      </c>
    </row>
    <row r="370" spans="1:10">
      <c r="A370">
        <v>369</v>
      </c>
      <c r="B370" t="s">
        <v>36</v>
      </c>
      <c r="C370" t="e">
        <v>#N/A</v>
      </c>
      <c r="D370" t="s">
        <v>34</v>
      </c>
      <c r="E370" t="s">
        <v>48</v>
      </c>
      <c r="F370" t="s">
        <v>60</v>
      </c>
      <c r="G370" t="s">
        <v>49</v>
      </c>
      <c r="J370">
        <v>0</v>
      </c>
    </row>
    <row r="371" spans="1:10">
      <c r="A371">
        <v>370</v>
      </c>
      <c r="B371" t="s">
        <v>36</v>
      </c>
      <c r="C371" t="e">
        <v>#N/A</v>
      </c>
      <c r="D371" t="s">
        <v>32</v>
      </c>
      <c r="E371" t="s">
        <v>58</v>
      </c>
      <c r="F371" t="s">
        <v>41</v>
      </c>
      <c r="G371" t="s">
        <v>41</v>
      </c>
      <c r="I371" t="s">
        <v>52</v>
      </c>
      <c r="J371">
        <v>0</v>
      </c>
    </row>
    <row r="372" spans="1:10">
      <c r="A372">
        <v>371</v>
      </c>
      <c r="B372" t="s">
        <v>17</v>
      </c>
      <c r="C372" t="s">
        <v>18</v>
      </c>
      <c r="D372" t="s">
        <v>19</v>
      </c>
      <c r="E372" t="s">
        <v>40</v>
      </c>
      <c r="F372" t="s">
        <v>41</v>
      </c>
      <c r="G372" t="s">
        <v>41</v>
      </c>
      <c r="H372" t="s">
        <v>46</v>
      </c>
      <c r="I372" t="s">
        <v>52</v>
      </c>
      <c r="J372">
        <v>0</v>
      </c>
    </row>
    <row r="373" spans="1:10">
      <c r="A373">
        <v>372</v>
      </c>
      <c r="B373" t="s">
        <v>17</v>
      </c>
      <c r="C373" t="s">
        <v>18</v>
      </c>
      <c r="D373" t="s">
        <v>30</v>
      </c>
      <c r="E373" t="s">
        <v>48</v>
      </c>
      <c r="F373" t="s">
        <v>60</v>
      </c>
      <c r="G373" t="s">
        <v>41</v>
      </c>
      <c r="H373">
        <v>99999998</v>
      </c>
      <c r="I373" t="s">
        <v>53</v>
      </c>
      <c r="J373">
        <v>0</v>
      </c>
    </row>
    <row r="374" spans="1:10">
      <c r="A374">
        <v>373</v>
      </c>
      <c r="B374" t="s">
        <v>20</v>
      </c>
      <c r="C374" t="s">
        <v>25</v>
      </c>
      <c r="D374" t="s">
        <v>19</v>
      </c>
      <c r="E374" t="s">
        <v>48</v>
      </c>
      <c r="F374" t="s">
        <v>41</v>
      </c>
      <c r="G374" t="s">
        <v>41</v>
      </c>
      <c r="H374">
        <v>99999998</v>
      </c>
      <c r="I374" t="s">
        <v>44</v>
      </c>
      <c r="J374">
        <v>0</v>
      </c>
    </row>
    <row r="375" spans="1:10">
      <c r="A375">
        <v>374</v>
      </c>
      <c r="B375" t="s">
        <v>17</v>
      </c>
      <c r="C375" t="s">
        <v>23</v>
      </c>
      <c r="D375" t="s">
        <v>19</v>
      </c>
      <c r="E375" t="s">
        <v>40</v>
      </c>
      <c r="F375">
        <v>99999999</v>
      </c>
      <c r="G375" t="s">
        <v>41</v>
      </c>
      <c r="H375">
        <v>99999998</v>
      </c>
      <c r="I375" t="s">
        <v>44</v>
      </c>
      <c r="J375">
        <v>0</v>
      </c>
    </row>
    <row r="376" spans="1:10">
      <c r="A376">
        <v>375</v>
      </c>
      <c r="B376" t="s">
        <v>22</v>
      </c>
      <c r="C376" t="s">
        <v>21</v>
      </c>
      <c r="D376" t="s">
        <v>33</v>
      </c>
      <c r="E376" t="s">
        <v>40</v>
      </c>
      <c r="F376" t="s">
        <v>41</v>
      </c>
      <c r="G376" t="s">
        <v>41</v>
      </c>
      <c r="H376">
        <v>99999998</v>
      </c>
      <c r="I376" t="s">
        <v>41</v>
      </c>
      <c r="J376">
        <v>0</v>
      </c>
    </row>
    <row r="377" spans="1:10">
      <c r="A377">
        <v>376</v>
      </c>
      <c r="B377" t="s">
        <v>17</v>
      </c>
      <c r="C377" t="s">
        <v>18</v>
      </c>
      <c r="D377" t="s">
        <v>30</v>
      </c>
      <c r="E377" t="s">
        <v>48</v>
      </c>
      <c r="F377" t="s">
        <v>55</v>
      </c>
      <c r="G377" t="s">
        <v>49</v>
      </c>
      <c r="H377" t="s">
        <v>41</v>
      </c>
      <c r="I377" t="s">
        <v>52</v>
      </c>
      <c r="J377">
        <v>0</v>
      </c>
    </row>
    <row r="378" spans="1:10">
      <c r="A378">
        <v>377</v>
      </c>
      <c r="B378" t="s">
        <v>17</v>
      </c>
      <c r="C378" t="s">
        <v>18</v>
      </c>
      <c r="D378" t="s">
        <v>30</v>
      </c>
      <c r="E378" t="s">
        <v>48</v>
      </c>
      <c r="F378" t="s">
        <v>41</v>
      </c>
      <c r="G378" t="s">
        <v>41</v>
      </c>
      <c r="H378" t="s">
        <v>63</v>
      </c>
      <c r="I378" t="s">
        <v>44</v>
      </c>
      <c r="J378">
        <v>0</v>
      </c>
    </row>
    <row r="379" spans="1:10">
      <c r="A379">
        <v>378</v>
      </c>
      <c r="B379" t="s">
        <v>17</v>
      </c>
      <c r="C379" t="s">
        <v>18</v>
      </c>
      <c r="D379" t="s">
        <v>30</v>
      </c>
      <c r="E379" t="s">
        <v>58</v>
      </c>
      <c r="F379" t="s">
        <v>41</v>
      </c>
      <c r="G379" t="s">
        <v>49</v>
      </c>
      <c r="H379">
        <v>99999998</v>
      </c>
      <c r="I379" t="s">
        <v>44</v>
      </c>
      <c r="J379">
        <v>0</v>
      </c>
    </row>
    <row r="380" spans="1:10">
      <c r="A380">
        <v>379</v>
      </c>
      <c r="B380" t="s">
        <v>17</v>
      </c>
      <c r="C380" t="s">
        <v>18</v>
      </c>
      <c r="D380" t="s">
        <v>32</v>
      </c>
      <c r="E380" t="s">
        <v>40</v>
      </c>
      <c r="F380" t="s">
        <v>41</v>
      </c>
      <c r="H380" t="s">
        <v>57</v>
      </c>
      <c r="I380" t="s">
        <v>41</v>
      </c>
      <c r="J380">
        <v>0</v>
      </c>
    </row>
    <row r="381" spans="1:10">
      <c r="A381">
        <v>380</v>
      </c>
      <c r="B381" t="s">
        <v>17</v>
      </c>
      <c r="C381" t="s">
        <v>25</v>
      </c>
      <c r="D381" t="s">
        <v>39</v>
      </c>
      <c r="E381" t="s">
        <v>48</v>
      </c>
      <c r="F381" t="s">
        <v>55</v>
      </c>
      <c r="G381" t="s">
        <v>41</v>
      </c>
      <c r="H381" t="s">
        <v>66</v>
      </c>
      <c r="I381" t="s">
        <v>47</v>
      </c>
      <c r="J381">
        <v>0</v>
      </c>
    </row>
    <row r="382" spans="1:10">
      <c r="A382">
        <v>381</v>
      </c>
      <c r="B382" t="s">
        <v>17</v>
      </c>
      <c r="C382" t="s">
        <v>25</v>
      </c>
      <c r="D382" t="s">
        <v>26</v>
      </c>
      <c r="E382" t="s">
        <v>42</v>
      </c>
      <c r="F382" t="s">
        <v>55</v>
      </c>
      <c r="G382" t="s">
        <v>64</v>
      </c>
      <c r="H382" t="s">
        <v>41</v>
      </c>
      <c r="I382" t="s">
        <v>47</v>
      </c>
      <c r="J382">
        <v>0</v>
      </c>
    </row>
    <row r="383" spans="1:10">
      <c r="A383">
        <v>382</v>
      </c>
      <c r="B383" t="s">
        <v>17</v>
      </c>
      <c r="C383" t="s">
        <v>25</v>
      </c>
      <c r="D383" t="s">
        <v>26</v>
      </c>
      <c r="E383" t="s">
        <v>45</v>
      </c>
      <c r="F383" t="s">
        <v>41</v>
      </c>
      <c r="G383" t="s">
        <v>41</v>
      </c>
      <c r="H383" t="s">
        <v>41</v>
      </c>
      <c r="I383" t="s">
        <v>44</v>
      </c>
      <c r="J383">
        <v>0</v>
      </c>
    </row>
    <row r="384" spans="1:10">
      <c r="A384">
        <v>383</v>
      </c>
      <c r="B384" t="s">
        <v>17</v>
      </c>
      <c r="C384" t="s">
        <v>25</v>
      </c>
      <c r="D384" t="s">
        <v>38</v>
      </c>
      <c r="E384" t="s">
        <v>45</v>
      </c>
      <c r="F384" t="s">
        <v>60</v>
      </c>
      <c r="G384" t="s">
        <v>41</v>
      </c>
      <c r="H384" t="s">
        <v>57</v>
      </c>
      <c r="I384" t="s">
        <v>53</v>
      </c>
      <c r="J384">
        <v>0</v>
      </c>
    </row>
    <row r="385" spans="1:10">
      <c r="A385">
        <v>384</v>
      </c>
      <c r="B385" t="s">
        <v>17</v>
      </c>
      <c r="C385" t="s">
        <v>25</v>
      </c>
      <c r="D385" t="s">
        <v>33</v>
      </c>
      <c r="E385" t="s">
        <v>58</v>
      </c>
      <c r="F385">
        <v>99999999</v>
      </c>
      <c r="G385">
        <v>99999999</v>
      </c>
      <c r="H385" t="s">
        <v>51</v>
      </c>
      <c r="I385" t="s">
        <v>41</v>
      </c>
      <c r="J385">
        <v>0</v>
      </c>
    </row>
    <row r="386" spans="1:10">
      <c r="A386">
        <v>385</v>
      </c>
      <c r="B386" t="s">
        <v>17</v>
      </c>
      <c r="C386" t="s">
        <v>18</v>
      </c>
      <c r="D386" t="s">
        <v>19</v>
      </c>
      <c r="E386" t="s">
        <v>48</v>
      </c>
      <c r="F386" t="s">
        <v>41</v>
      </c>
      <c r="H386" t="s">
        <v>57</v>
      </c>
      <c r="I386" t="s">
        <v>54</v>
      </c>
      <c r="J386">
        <v>0</v>
      </c>
    </row>
    <row r="387" spans="1:10">
      <c r="A387">
        <v>386</v>
      </c>
      <c r="B387" t="s">
        <v>17</v>
      </c>
      <c r="C387" t="s">
        <v>18</v>
      </c>
      <c r="D387" t="s">
        <v>19</v>
      </c>
      <c r="E387" t="s">
        <v>58</v>
      </c>
      <c r="F387" t="s">
        <v>41</v>
      </c>
      <c r="G387">
        <v>99999999</v>
      </c>
      <c r="H387">
        <v>99999998</v>
      </c>
      <c r="I387" t="s">
        <v>41</v>
      </c>
      <c r="J387">
        <v>0</v>
      </c>
    </row>
    <row r="388" spans="1:10">
      <c r="A388">
        <v>387</v>
      </c>
      <c r="B388" t="s">
        <v>17</v>
      </c>
      <c r="C388" t="s">
        <v>18</v>
      </c>
      <c r="D388" t="s">
        <v>32</v>
      </c>
      <c r="E388" t="s">
        <v>40</v>
      </c>
      <c r="F388" t="s">
        <v>41</v>
      </c>
      <c r="H388" t="s">
        <v>57</v>
      </c>
      <c r="I388" t="s">
        <v>41</v>
      </c>
      <c r="J388">
        <v>0</v>
      </c>
    </row>
    <row r="389" spans="1:10">
      <c r="A389">
        <v>388</v>
      </c>
      <c r="B389" t="s">
        <v>17</v>
      </c>
      <c r="C389" t="s">
        <v>25</v>
      </c>
      <c r="D389" t="s">
        <v>30</v>
      </c>
      <c r="E389" t="s">
        <v>58</v>
      </c>
      <c r="F389" t="s">
        <v>41</v>
      </c>
      <c r="G389" t="s">
        <v>65</v>
      </c>
      <c r="H389">
        <v>99999999</v>
      </c>
      <c r="I389" t="s">
        <v>41</v>
      </c>
      <c r="J389">
        <v>0</v>
      </c>
    </row>
    <row r="390" spans="1:10">
      <c r="A390">
        <v>389</v>
      </c>
      <c r="B390" t="s">
        <v>17</v>
      </c>
      <c r="C390" t="s">
        <v>18</v>
      </c>
      <c r="D390" t="s">
        <v>19</v>
      </c>
      <c r="E390" t="s">
        <v>40</v>
      </c>
      <c r="F390" t="s">
        <v>60</v>
      </c>
      <c r="G390" t="s">
        <v>41</v>
      </c>
      <c r="H390">
        <v>99999999</v>
      </c>
      <c r="I390" t="s">
        <v>59</v>
      </c>
      <c r="J390">
        <v>0</v>
      </c>
    </row>
    <row r="391" spans="1:10">
      <c r="A391">
        <v>390</v>
      </c>
      <c r="B391" t="s">
        <v>17</v>
      </c>
      <c r="C391" t="s">
        <v>23</v>
      </c>
      <c r="D391" t="s">
        <v>29</v>
      </c>
      <c r="E391" t="s">
        <v>40</v>
      </c>
      <c r="F391" t="s">
        <v>41</v>
      </c>
      <c r="G391" t="s">
        <v>41</v>
      </c>
      <c r="H391">
        <v>99999998</v>
      </c>
      <c r="I391" t="s">
        <v>44</v>
      </c>
      <c r="J391">
        <v>0</v>
      </c>
    </row>
    <row r="392" spans="1:10">
      <c r="A392">
        <v>391</v>
      </c>
      <c r="B392" t="s">
        <v>22</v>
      </c>
      <c r="C392" t="s">
        <v>21</v>
      </c>
      <c r="D392" t="s">
        <v>29</v>
      </c>
      <c r="E392" t="s">
        <v>40</v>
      </c>
      <c r="F392" t="s">
        <v>41</v>
      </c>
      <c r="G392" t="s">
        <v>41</v>
      </c>
      <c r="H392">
        <v>99999998</v>
      </c>
      <c r="I392" t="s">
        <v>41</v>
      </c>
      <c r="J392">
        <v>0</v>
      </c>
    </row>
    <row r="393" spans="1:10">
      <c r="A393">
        <v>392</v>
      </c>
      <c r="B393" t="s">
        <v>20</v>
      </c>
      <c r="C393" t="s">
        <v>21</v>
      </c>
      <c r="D393" t="s">
        <v>19</v>
      </c>
      <c r="E393" t="s">
        <v>48</v>
      </c>
      <c r="F393" t="s">
        <v>50</v>
      </c>
      <c r="G393" t="s">
        <v>65</v>
      </c>
      <c r="H393" t="s">
        <v>63</v>
      </c>
      <c r="I393" t="s">
        <v>62</v>
      </c>
      <c r="J393">
        <v>0</v>
      </c>
    </row>
    <row r="394" spans="1:10">
      <c r="A394">
        <v>393</v>
      </c>
      <c r="B394" t="s">
        <v>22</v>
      </c>
      <c r="C394" t="s">
        <v>21</v>
      </c>
      <c r="D394" t="s">
        <v>24</v>
      </c>
      <c r="E394" t="s">
        <v>40</v>
      </c>
      <c r="F394" t="s">
        <v>41</v>
      </c>
      <c r="G394" t="s">
        <v>41</v>
      </c>
      <c r="H394">
        <v>99999998</v>
      </c>
      <c r="I394" t="s">
        <v>44</v>
      </c>
      <c r="J394">
        <v>0</v>
      </c>
    </row>
    <row r="395" spans="1:10">
      <c r="A395">
        <v>394</v>
      </c>
      <c r="B395" t="s">
        <v>17</v>
      </c>
      <c r="C395" t="s">
        <v>18</v>
      </c>
      <c r="D395" t="s">
        <v>19</v>
      </c>
      <c r="E395" t="s">
        <v>42</v>
      </c>
      <c r="F395" t="s">
        <v>50</v>
      </c>
      <c r="G395" t="s">
        <v>41</v>
      </c>
      <c r="H395" t="s">
        <v>41</v>
      </c>
      <c r="I395" t="s">
        <v>47</v>
      </c>
      <c r="J395">
        <v>0</v>
      </c>
    </row>
    <row r="396" spans="1:10">
      <c r="A396">
        <v>395</v>
      </c>
      <c r="B396" t="s">
        <v>17</v>
      </c>
      <c r="C396" t="s">
        <v>18</v>
      </c>
      <c r="D396" t="s">
        <v>19</v>
      </c>
      <c r="E396" t="s">
        <v>42</v>
      </c>
      <c r="F396" t="s">
        <v>41</v>
      </c>
      <c r="G396" t="s">
        <v>41</v>
      </c>
      <c r="H396" t="s">
        <v>41</v>
      </c>
      <c r="I396" t="s">
        <v>54</v>
      </c>
      <c r="J396">
        <v>0</v>
      </c>
    </row>
    <row r="397" spans="1:10">
      <c r="A397">
        <v>396</v>
      </c>
      <c r="B397" t="s">
        <v>17</v>
      </c>
      <c r="C397" t="s">
        <v>18</v>
      </c>
      <c r="D397" t="s">
        <v>39</v>
      </c>
      <c r="E397" t="s">
        <v>48</v>
      </c>
      <c r="F397" t="s">
        <v>55</v>
      </c>
      <c r="G397" t="s">
        <v>41</v>
      </c>
      <c r="H397" t="s">
        <v>66</v>
      </c>
      <c r="I397" t="s">
        <v>52</v>
      </c>
      <c r="J397">
        <v>0</v>
      </c>
    </row>
    <row r="398" spans="1:10">
      <c r="A398">
        <v>397</v>
      </c>
      <c r="B398" t="s">
        <v>17</v>
      </c>
      <c r="C398" t="s">
        <v>21</v>
      </c>
      <c r="D398" t="s">
        <v>26</v>
      </c>
      <c r="E398" t="s">
        <v>40</v>
      </c>
      <c r="F398" t="s">
        <v>61</v>
      </c>
      <c r="G398" t="s">
        <v>64</v>
      </c>
      <c r="H398" t="s">
        <v>66</v>
      </c>
      <c r="I398" t="s">
        <v>59</v>
      </c>
      <c r="J398">
        <v>0</v>
      </c>
    </row>
    <row r="399" spans="1:10">
      <c r="A399">
        <v>398</v>
      </c>
      <c r="B399" t="s">
        <v>17</v>
      </c>
      <c r="C399" t="s">
        <v>21</v>
      </c>
      <c r="D399" t="s">
        <v>19</v>
      </c>
      <c r="E399" t="s">
        <v>40</v>
      </c>
      <c r="F399" t="s">
        <v>41</v>
      </c>
      <c r="G399" t="s">
        <v>41</v>
      </c>
      <c r="H399">
        <v>99999998</v>
      </c>
      <c r="I399" t="s">
        <v>44</v>
      </c>
      <c r="J399">
        <v>0</v>
      </c>
    </row>
    <row r="400" spans="1:10">
      <c r="A400">
        <v>399</v>
      </c>
      <c r="B400" t="s">
        <v>17</v>
      </c>
      <c r="C400" t="s">
        <v>18</v>
      </c>
      <c r="D400" t="s">
        <v>26</v>
      </c>
      <c r="E400" t="s">
        <v>58</v>
      </c>
      <c r="F400" t="s">
        <v>41</v>
      </c>
      <c r="G400" t="s">
        <v>41</v>
      </c>
      <c r="H400">
        <v>99999998</v>
      </c>
      <c r="I400" t="s">
        <v>41</v>
      </c>
      <c r="J400">
        <v>0</v>
      </c>
    </row>
    <row r="401" spans="1:10">
      <c r="A401">
        <v>400</v>
      </c>
      <c r="B401" t="s">
        <v>17</v>
      </c>
      <c r="C401" t="s">
        <v>18</v>
      </c>
      <c r="D401" t="s">
        <v>19</v>
      </c>
      <c r="E401" t="s">
        <v>40</v>
      </c>
      <c r="F401" t="s">
        <v>60</v>
      </c>
      <c r="G401" t="s">
        <v>49</v>
      </c>
      <c r="H401" t="s">
        <v>46</v>
      </c>
      <c r="I401" t="s">
        <v>59</v>
      </c>
      <c r="J401">
        <v>0</v>
      </c>
    </row>
    <row r="402" spans="1:10">
      <c r="A402">
        <v>401</v>
      </c>
      <c r="B402" t="s">
        <v>17</v>
      </c>
      <c r="C402" t="s">
        <v>18</v>
      </c>
      <c r="D402" t="s">
        <v>39</v>
      </c>
      <c r="E402" t="s">
        <v>40</v>
      </c>
      <c r="F402" t="s">
        <v>41</v>
      </c>
      <c r="G402" t="s">
        <v>49</v>
      </c>
      <c r="H402">
        <v>99999998</v>
      </c>
      <c r="I402" t="s">
        <v>54</v>
      </c>
      <c r="J402">
        <v>0</v>
      </c>
    </row>
    <row r="403" spans="1:10">
      <c r="A403">
        <v>402</v>
      </c>
      <c r="B403" t="s">
        <v>20</v>
      </c>
      <c r="C403" t="s">
        <v>21</v>
      </c>
      <c r="D403" t="s">
        <v>38</v>
      </c>
      <c r="E403" t="s">
        <v>48</v>
      </c>
      <c r="F403" t="s">
        <v>61</v>
      </c>
      <c r="G403" t="s">
        <v>65</v>
      </c>
      <c r="I403" t="s">
        <v>47</v>
      </c>
      <c r="J403">
        <v>0</v>
      </c>
    </row>
    <row r="404" spans="1:10">
      <c r="A404">
        <v>403</v>
      </c>
      <c r="B404" t="s">
        <v>17</v>
      </c>
      <c r="C404" t="s">
        <v>23</v>
      </c>
      <c r="D404" t="s">
        <v>26</v>
      </c>
      <c r="E404" t="s">
        <v>58</v>
      </c>
      <c r="F404" t="s">
        <v>41</v>
      </c>
      <c r="G404" t="s">
        <v>49</v>
      </c>
      <c r="I404" t="s">
        <v>41</v>
      </c>
      <c r="J404">
        <v>1</v>
      </c>
    </row>
    <row r="405" spans="1:10">
      <c r="A405">
        <v>404</v>
      </c>
      <c r="B405" t="s">
        <v>17</v>
      </c>
      <c r="C405" t="s">
        <v>18</v>
      </c>
      <c r="D405" t="s">
        <v>30</v>
      </c>
      <c r="E405" t="s">
        <v>48</v>
      </c>
      <c r="F405" t="s">
        <v>41</v>
      </c>
      <c r="G405" t="s">
        <v>41</v>
      </c>
      <c r="H405" t="s">
        <v>57</v>
      </c>
      <c r="I405" t="s">
        <v>41</v>
      </c>
      <c r="J405">
        <v>1</v>
      </c>
    </row>
    <row r="406" spans="1:10">
      <c r="A406">
        <v>405</v>
      </c>
      <c r="B406" t="s">
        <v>17</v>
      </c>
      <c r="C406" t="s">
        <v>25</v>
      </c>
      <c r="D406" t="s">
        <v>33</v>
      </c>
      <c r="E406" t="s">
        <v>58</v>
      </c>
      <c r="F406">
        <v>99999999</v>
      </c>
      <c r="G406">
        <v>99999999</v>
      </c>
      <c r="I406" t="s">
        <v>41</v>
      </c>
      <c r="J406">
        <v>0</v>
      </c>
    </row>
    <row r="407" spans="1:10">
      <c r="A407">
        <v>406</v>
      </c>
      <c r="B407" t="s">
        <v>17</v>
      </c>
      <c r="C407" t="s">
        <v>25</v>
      </c>
      <c r="D407" t="s">
        <v>32</v>
      </c>
      <c r="E407" t="s">
        <v>45</v>
      </c>
      <c r="F407" t="s">
        <v>60</v>
      </c>
      <c r="G407" t="s">
        <v>41</v>
      </c>
      <c r="H407">
        <v>99999998</v>
      </c>
      <c r="I407" t="s">
        <v>53</v>
      </c>
      <c r="J407">
        <v>0</v>
      </c>
    </row>
    <row r="408" spans="1:10">
      <c r="A408">
        <v>407</v>
      </c>
      <c r="B408" t="s">
        <v>17</v>
      </c>
      <c r="C408" t="s">
        <v>18</v>
      </c>
      <c r="D408" t="s">
        <v>19</v>
      </c>
      <c r="E408" t="s">
        <v>42</v>
      </c>
      <c r="F408" t="s">
        <v>41</v>
      </c>
      <c r="G408" t="s">
        <v>49</v>
      </c>
      <c r="H408" t="s">
        <v>41</v>
      </c>
      <c r="I408" t="s">
        <v>53</v>
      </c>
      <c r="J408">
        <v>0</v>
      </c>
    </row>
    <row r="409" spans="1:10">
      <c r="A409">
        <v>408</v>
      </c>
      <c r="B409" t="s">
        <v>17</v>
      </c>
      <c r="C409" t="s">
        <v>18</v>
      </c>
      <c r="D409" t="s">
        <v>19</v>
      </c>
      <c r="E409" t="s">
        <v>42</v>
      </c>
      <c r="F409" t="s">
        <v>41</v>
      </c>
      <c r="G409" t="s">
        <v>64</v>
      </c>
      <c r="H409" t="s">
        <v>41</v>
      </c>
      <c r="I409" t="s">
        <v>52</v>
      </c>
      <c r="J409">
        <v>0</v>
      </c>
    </row>
    <row r="410" spans="1:10">
      <c r="A410">
        <v>409</v>
      </c>
      <c r="B410" t="s">
        <v>17</v>
      </c>
      <c r="C410" t="s">
        <v>18</v>
      </c>
      <c r="D410" t="s">
        <v>19</v>
      </c>
      <c r="E410" t="s">
        <v>42</v>
      </c>
      <c r="F410" t="s">
        <v>41</v>
      </c>
      <c r="G410" t="s">
        <v>56</v>
      </c>
      <c r="H410" t="s">
        <v>41</v>
      </c>
      <c r="I410" t="s">
        <v>47</v>
      </c>
      <c r="J410">
        <v>0</v>
      </c>
    </row>
    <row r="411" spans="1:10">
      <c r="A411">
        <v>410</v>
      </c>
      <c r="B411" t="s">
        <v>17</v>
      </c>
      <c r="C411" t="s">
        <v>18</v>
      </c>
      <c r="D411" t="s">
        <v>39</v>
      </c>
      <c r="E411" t="s">
        <v>48</v>
      </c>
      <c r="F411" t="s">
        <v>50</v>
      </c>
      <c r="G411" t="s">
        <v>64</v>
      </c>
      <c r="H411" t="s">
        <v>41</v>
      </c>
      <c r="I411" t="s">
        <v>53</v>
      </c>
      <c r="J411">
        <v>0</v>
      </c>
    </row>
    <row r="412" spans="1:10">
      <c r="A412">
        <v>411</v>
      </c>
      <c r="B412" t="s">
        <v>17</v>
      </c>
      <c r="C412" t="s">
        <v>18</v>
      </c>
      <c r="D412" t="s">
        <v>30</v>
      </c>
      <c r="E412" t="s">
        <v>40</v>
      </c>
      <c r="F412" t="s">
        <v>41</v>
      </c>
      <c r="G412" t="s">
        <v>41</v>
      </c>
      <c r="H412" t="s">
        <v>43</v>
      </c>
      <c r="I412" t="s">
        <v>41</v>
      </c>
      <c r="J412">
        <v>0</v>
      </c>
    </row>
    <row r="413" spans="1:10">
      <c r="A413">
        <v>412</v>
      </c>
      <c r="B413" t="s">
        <v>17</v>
      </c>
      <c r="C413" t="s">
        <v>21</v>
      </c>
      <c r="D413" t="s">
        <v>33</v>
      </c>
      <c r="E413" t="s">
        <v>58</v>
      </c>
      <c r="F413">
        <v>99999999</v>
      </c>
      <c r="G413">
        <v>99999999</v>
      </c>
      <c r="I413" t="s">
        <v>41</v>
      </c>
      <c r="J413">
        <v>0</v>
      </c>
    </row>
    <row r="414" spans="1:10">
      <c r="A414">
        <v>413</v>
      </c>
      <c r="B414" t="s">
        <v>17</v>
      </c>
      <c r="C414" t="s">
        <v>21</v>
      </c>
      <c r="D414" t="s">
        <v>38</v>
      </c>
      <c r="E414" t="s">
        <v>45</v>
      </c>
      <c r="F414" t="s">
        <v>41</v>
      </c>
      <c r="G414" t="s">
        <v>64</v>
      </c>
      <c r="I414" t="s">
        <v>54</v>
      </c>
      <c r="J414">
        <v>0</v>
      </c>
    </row>
    <row r="415" spans="1:10">
      <c r="A415">
        <v>414</v>
      </c>
      <c r="B415" t="s">
        <v>17</v>
      </c>
      <c r="C415" t="s">
        <v>23</v>
      </c>
      <c r="D415" t="s">
        <v>26</v>
      </c>
      <c r="E415" t="s">
        <v>40</v>
      </c>
      <c r="F415" t="s">
        <v>61</v>
      </c>
      <c r="G415" t="s">
        <v>56</v>
      </c>
      <c r="H415" t="s">
        <v>46</v>
      </c>
      <c r="I415" t="s">
        <v>59</v>
      </c>
      <c r="J415">
        <v>0</v>
      </c>
    </row>
    <row r="416" spans="1:10">
      <c r="A416">
        <v>415</v>
      </c>
      <c r="B416" t="s">
        <v>17</v>
      </c>
      <c r="C416" t="s">
        <v>18</v>
      </c>
      <c r="D416" t="s">
        <v>19</v>
      </c>
      <c r="E416" t="s">
        <v>40</v>
      </c>
      <c r="F416">
        <v>99999999</v>
      </c>
      <c r="G416">
        <v>99999999</v>
      </c>
      <c r="H416" t="s">
        <v>63</v>
      </c>
      <c r="I416" t="s">
        <v>41</v>
      </c>
      <c r="J416">
        <v>1</v>
      </c>
    </row>
    <row r="417" spans="1:10">
      <c r="A417">
        <v>416</v>
      </c>
      <c r="B417" t="s">
        <v>17</v>
      </c>
      <c r="C417" t="s">
        <v>18</v>
      </c>
      <c r="D417" t="s">
        <v>19</v>
      </c>
      <c r="E417" t="s">
        <v>48</v>
      </c>
      <c r="F417" t="s">
        <v>41</v>
      </c>
      <c r="G417" t="s">
        <v>64</v>
      </c>
      <c r="H417" t="s">
        <v>57</v>
      </c>
      <c r="I417" t="s">
        <v>44</v>
      </c>
      <c r="J417">
        <v>1</v>
      </c>
    </row>
    <row r="418" spans="1:10">
      <c r="A418">
        <v>417</v>
      </c>
      <c r="B418" t="s">
        <v>20</v>
      </c>
      <c r="C418" t="s">
        <v>21</v>
      </c>
      <c r="D418" t="s">
        <v>32</v>
      </c>
      <c r="E418" t="s">
        <v>58</v>
      </c>
      <c r="F418" t="s">
        <v>41</v>
      </c>
      <c r="G418" t="s">
        <v>65</v>
      </c>
      <c r="H418">
        <v>99999998</v>
      </c>
      <c r="I418" t="s">
        <v>54</v>
      </c>
      <c r="J418">
        <v>0</v>
      </c>
    </row>
    <row r="419" spans="1:10">
      <c r="A419">
        <v>418</v>
      </c>
      <c r="B419" t="s">
        <v>17</v>
      </c>
      <c r="C419" t="s">
        <v>18</v>
      </c>
      <c r="D419" t="s">
        <v>19</v>
      </c>
      <c r="E419" t="s">
        <v>48</v>
      </c>
      <c r="F419" t="s">
        <v>50</v>
      </c>
      <c r="G419" t="s">
        <v>49</v>
      </c>
      <c r="H419" t="s">
        <v>41</v>
      </c>
      <c r="I419" t="s">
        <v>59</v>
      </c>
      <c r="J419">
        <v>0</v>
      </c>
    </row>
    <row r="420" spans="1:10">
      <c r="A420">
        <v>419</v>
      </c>
      <c r="B420" t="s">
        <v>17</v>
      </c>
      <c r="C420" t="s">
        <v>23</v>
      </c>
      <c r="D420" t="s">
        <v>38</v>
      </c>
      <c r="E420" t="s">
        <v>45</v>
      </c>
      <c r="F420" t="s">
        <v>41</v>
      </c>
      <c r="G420" t="s">
        <v>64</v>
      </c>
      <c r="H420">
        <v>99999998</v>
      </c>
      <c r="I420" t="s">
        <v>54</v>
      </c>
      <c r="J420">
        <v>0</v>
      </c>
    </row>
    <row r="421" spans="1:10">
      <c r="A421">
        <v>420</v>
      </c>
      <c r="B421" t="s">
        <v>36</v>
      </c>
      <c r="C421" t="e">
        <v>#N/A</v>
      </c>
      <c r="D421" t="s">
        <v>19</v>
      </c>
      <c r="E421" t="s">
        <v>45</v>
      </c>
      <c r="F421" t="s">
        <v>55</v>
      </c>
      <c r="G421" t="s">
        <v>49</v>
      </c>
      <c r="I421" t="s">
        <v>62</v>
      </c>
      <c r="J421">
        <v>0</v>
      </c>
    </row>
    <row r="422" spans="1:10">
      <c r="A422">
        <v>421</v>
      </c>
      <c r="B422" t="s">
        <v>36</v>
      </c>
      <c r="C422" t="e">
        <v>#N/A</v>
      </c>
      <c r="D422" t="s">
        <v>39</v>
      </c>
      <c r="E422" t="s">
        <v>58</v>
      </c>
      <c r="F422" t="s">
        <v>41</v>
      </c>
      <c r="G422" t="s">
        <v>56</v>
      </c>
      <c r="I422" t="s">
        <v>41</v>
      </c>
      <c r="J422">
        <v>0</v>
      </c>
    </row>
    <row r="423" spans="1:10">
      <c r="A423">
        <v>422</v>
      </c>
      <c r="B423" t="s">
        <v>36</v>
      </c>
      <c r="C423" t="e">
        <v>#N/A</v>
      </c>
      <c r="D423" t="s">
        <v>26</v>
      </c>
      <c r="E423" t="s">
        <v>40</v>
      </c>
      <c r="F423" t="s">
        <v>50</v>
      </c>
      <c r="G423" t="s">
        <v>65</v>
      </c>
      <c r="I423" t="s">
        <v>59</v>
      </c>
      <c r="J423">
        <v>0</v>
      </c>
    </row>
    <row r="424" spans="1:10">
      <c r="A424">
        <v>423</v>
      </c>
      <c r="B424" t="s">
        <v>36</v>
      </c>
      <c r="C424" t="e">
        <v>#N/A</v>
      </c>
      <c r="D424" t="s">
        <v>19</v>
      </c>
      <c r="E424" t="s">
        <v>40</v>
      </c>
      <c r="F424" t="s">
        <v>41</v>
      </c>
      <c r="G424" t="s">
        <v>41</v>
      </c>
      <c r="I424" t="s">
        <v>41</v>
      </c>
      <c r="J424">
        <v>0</v>
      </c>
    </row>
    <row r="425" spans="1:10">
      <c r="A425">
        <v>424</v>
      </c>
      <c r="B425" t="s">
        <v>36</v>
      </c>
      <c r="C425" t="e">
        <v>#N/A</v>
      </c>
      <c r="D425" t="s">
        <v>19</v>
      </c>
      <c r="E425" t="s">
        <v>58</v>
      </c>
      <c r="F425" t="s">
        <v>60</v>
      </c>
      <c r="G425" t="s">
        <v>56</v>
      </c>
      <c r="I425" t="s">
        <v>59</v>
      </c>
      <c r="J425">
        <v>0</v>
      </c>
    </row>
    <row r="426" spans="1:10">
      <c r="A426">
        <v>425</v>
      </c>
      <c r="B426" t="s">
        <v>36</v>
      </c>
      <c r="C426" t="e">
        <v>#N/A</v>
      </c>
      <c r="D426" t="s">
        <v>19</v>
      </c>
      <c r="E426" t="s">
        <v>45</v>
      </c>
      <c r="F426" t="s">
        <v>60</v>
      </c>
      <c r="G426" t="s">
        <v>56</v>
      </c>
      <c r="I426" t="s">
        <v>59</v>
      </c>
      <c r="J426">
        <v>0</v>
      </c>
    </row>
    <row r="427" spans="1:10">
      <c r="A427">
        <v>426</v>
      </c>
      <c r="B427" t="s">
        <v>37</v>
      </c>
      <c r="C427" t="e">
        <v>#N/A</v>
      </c>
      <c r="D427" t="s">
        <v>32</v>
      </c>
      <c r="E427" t="s">
        <v>58</v>
      </c>
      <c r="F427" t="s">
        <v>41</v>
      </c>
      <c r="G427" t="s">
        <v>41</v>
      </c>
      <c r="I427" t="s">
        <v>54</v>
      </c>
      <c r="J427">
        <v>0</v>
      </c>
    </row>
    <row r="428" spans="1:10">
      <c r="A428">
        <v>427</v>
      </c>
      <c r="B428" t="s">
        <v>36</v>
      </c>
      <c r="C428" t="e">
        <v>#N/A</v>
      </c>
      <c r="D428" t="s">
        <v>26</v>
      </c>
      <c r="E428" t="s">
        <v>58</v>
      </c>
      <c r="F428" t="s">
        <v>41</v>
      </c>
      <c r="G428" t="s">
        <v>41</v>
      </c>
      <c r="I428" t="s">
        <v>47</v>
      </c>
      <c r="J428">
        <v>0</v>
      </c>
    </row>
    <row r="429" spans="1:10">
      <c r="A429">
        <v>428</v>
      </c>
      <c r="B429" t="s">
        <v>36</v>
      </c>
      <c r="C429" t="e">
        <v>#N/A</v>
      </c>
      <c r="D429" t="s">
        <v>19</v>
      </c>
      <c r="E429" t="s">
        <v>42</v>
      </c>
      <c r="F429" t="s">
        <v>41</v>
      </c>
      <c r="G429" t="s">
        <v>41</v>
      </c>
      <c r="I429" t="s">
        <v>47</v>
      </c>
      <c r="J429">
        <v>0</v>
      </c>
    </row>
    <row r="430" spans="1:10">
      <c r="A430">
        <v>429</v>
      </c>
      <c r="B430" t="s">
        <v>36</v>
      </c>
      <c r="C430" t="e">
        <v>#N/A</v>
      </c>
      <c r="D430" t="s">
        <v>19</v>
      </c>
      <c r="E430" t="s">
        <v>45</v>
      </c>
      <c r="F430">
        <v>99999999</v>
      </c>
      <c r="G430">
        <v>99999999</v>
      </c>
      <c r="I430" t="s">
        <v>41</v>
      </c>
      <c r="J430">
        <v>0</v>
      </c>
    </row>
    <row r="431" spans="1:10">
      <c r="A431">
        <v>430</v>
      </c>
      <c r="B431" t="s">
        <v>36</v>
      </c>
      <c r="C431" t="e">
        <v>#N/A</v>
      </c>
      <c r="D431" t="s">
        <v>19</v>
      </c>
      <c r="E431" t="s">
        <v>40</v>
      </c>
      <c r="F431" t="s">
        <v>41</v>
      </c>
      <c r="G431" t="s">
        <v>49</v>
      </c>
      <c r="I431" t="s">
        <v>47</v>
      </c>
      <c r="J431">
        <v>0</v>
      </c>
    </row>
    <row r="432" spans="1:10">
      <c r="A432">
        <v>431</v>
      </c>
      <c r="B432" t="s">
        <v>36</v>
      </c>
      <c r="C432" t="e">
        <v>#N/A</v>
      </c>
      <c r="D432" t="s">
        <v>33</v>
      </c>
      <c r="E432" t="s">
        <v>48</v>
      </c>
      <c r="F432" t="s">
        <v>41</v>
      </c>
      <c r="G432" t="s">
        <v>41</v>
      </c>
      <c r="I432" t="s">
        <v>44</v>
      </c>
      <c r="J432">
        <v>0</v>
      </c>
    </row>
    <row r="433" spans="1:10">
      <c r="A433">
        <v>432</v>
      </c>
      <c r="B433" t="s">
        <v>36</v>
      </c>
      <c r="C433" t="e">
        <v>#N/A</v>
      </c>
      <c r="D433" t="s">
        <v>19</v>
      </c>
      <c r="E433" t="s">
        <v>42</v>
      </c>
      <c r="F433" t="s">
        <v>41</v>
      </c>
      <c r="G433" t="s">
        <v>41</v>
      </c>
      <c r="I433" t="s">
        <v>52</v>
      </c>
      <c r="J433">
        <v>0</v>
      </c>
    </row>
    <row r="434" spans="1:10">
      <c r="A434">
        <v>433</v>
      </c>
      <c r="B434" t="s">
        <v>36</v>
      </c>
      <c r="C434" t="e">
        <v>#N/A</v>
      </c>
      <c r="D434" t="s">
        <v>24</v>
      </c>
      <c r="E434" t="s">
        <v>40</v>
      </c>
      <c r="F434">
        <v>99999999</v>
      </c>
      <c r="G434" t="s">
        <v>41</v>
      </c>
      <c r="J434">
        <v>1</v>
      </c>
    </row>
    <row r="435" spans="1:10">
      <c r="A435">
        <v>434</v>
      </c>
      <c r="B435" t="s">
        <v>36</v>
      </c>
      <c r="C435" t="e">
        <v>#N/A</v>
      </c>
      <c r="D435" t="s">
        <v>19</v>
      </c>
      <c r="E435" t="s">
        <v>58</v>
      </c>
      <c r="F435">
        <v>99999999</v>
      </c>
      <c r="G435">
        <v>99999999</v>
      </c>
      <c r="I435" t="s">
        <v>41</v>
      </c>
      <c r="J435">
        <v>0</v>
      </c>
    </row>
    <row r="436" spans="1:10">
      <c r="A436">
        <v>435</v>
      </c>
      <c r="B436" t="s">
        <v>36</v>
      </c>
      <c r="C436" t="e">
        <v>#N/A</v>
      </c>
      <c r="D436" t="s">
        <v>19</v>
      </c>
      <c r="E436" t="s">
        <v>42</v>
      </c>
      <c r="F436" t="s">
        <v>41</v>
      </c>
      <c r="G436" t="s">
        <v>49</v>
      </c>
      <c r="I436" t="s">
        <v>54</v>
      </c>
      <c r="J436">
        <v>0</v>
      </c>
    </row>
    <row r="437" spans="1:10">
      <c r="A437">
        <v>436</v>
      </c>
      <c r="B437" t="s">
        <v>36</v>
      </c>
      <c r="C437" t="e">
        <v>#N/A</v>
      </c>
      <c r="D437" t="s">
        <v>30</v>
      </c>
      <c r="E437" t="s">
        <v>42</v>
      </c>
      <c r="F437" t="s">
        <v>61</v>
      </c>
      <c r="G437" t="s">
        <v>41</v>
      </c>
      <c r="I437" t="s">
        <v>47</v>
      </c>
      <c r="J437">
        <v>0</v>
      </c>
    </row>
    <row r="438" spans="1:10">
      <c r="A438">
        <v>437</v>
      </c>
      <c r="B438" t="s">
        <v>36</v>
      </c>
      <c r="C438" t="e">
        <v>#N/A</v>
      </c>
      <c r="D438" t="s">
        <v>39</v>
      </c>
      <c r="E438" t="s">
        <v>58</v>
      </c>
      <c r="F438" t="s">
        <v>50</v>
      </c>
      <c r="G438" t="s">
        <v>41</v>
      </c>
      <c r="I438" t="s">
        <v>54</v>
      </c>
      <c r="J438">
        <v>0</v>
      </c>
    </row>
    <row r="439" spans="1:10">
      <c r="A439">
        <v>438</v>
      </c>
      <c r="B439" t="s">
        <v>36</v>
      </c>
      <c r="C439" t="e">
        <v>#N/A</v>
      </c>
      <c r="D439" t="s">
        <v>30</v>
      </c>
      <c r="E439" t="s">
        <v>45</v>
      </c>
      <c r="F439" t="s">
        <v>55</v>
      </c>
      <c r="G439" t="s">
        <v>41</v>
      </c>
      <c r="I439" t="s">
        <v>47</v>
      </c>
      <c r="J439">
        <v>0</v>
      </c>
    </row>
    <row r="440" spans="1:10">
      <c r="A440">
        <v>439</v>
      </c>
      <c r="B440" t="s">
        <v>36</v>
      </c>
      <c r="C440" t="e">
        <v>#N/A</v>
      </c>
      <c r="D440" t="s">
        <v>19</v>
      </c>
      <c r="E440" t="s">
        <v>45</v>
      </c>
      <c r="F440" t="s">
        <v>41</v>
      </c>
      <c r="G440" t="s">
        <v>49</v>
      </c>
      <c r="I440" t="s">
        <v>44</v>
      </c>
      <c r="J440">
        <v>0</v>
      </c>
    </row>
    <row r="441" spans="1:10">
      <c r="A441">
        <v>440</v>
      </c>
      <c r="B441" t="s">
        <v>36</v>
      </c>
      <c r="C441" t="e">
        <v>#N/A</v>
      </c>
      <c r="D441" t="s">
        <v>34</v>
      </c>
      <c r="J441">
        <v>0</v>
      </c>
    </row>
    <row r="442" spans="1:10">
      <c r="A442">
        <v>441</v>
      </c>
      <c r="B442" t="s">
        <v>36</v>
      </c>
      <c r="C442" t="e">
        <v>#N/A</v>
      </c>
      <c r="D442" t="s">
        <v>19</v>
      </c>
      <c r="E442" t="s">
        <v>48</v>
      </c>
      <c r="F442" t="s">
        <v>41</v>
      </c>
      <c r="G442" t="s">
        <v>41</v>
      </c>
      <c r="I442" t="s">
        <v>44</v>
      </c>
      <c r="J442">
        <v>0</v>
      </c>
    </row>
    <row r="443" spans="1:10">
      <c r="A443">
        <v>442</v>
      </c>
      <c r="B443" t="s">
        <v>36</v>
      </c>
      <c r="C443" t="e">
        <v>#N/A</v>
      </c>
      <c r="D443" t="s">
        <v>33</v>
      </c>
      <c r="E443" t="s">
        <v>48</v>
      </c>
      <c r="F443" t="s">
        <v>41</v>
      </c>
      <c r="G443" t="s">
        <v>41</v>
      </c>
      <c r="I443" t="s">
        <v>54</v>
      </c>
      <c r="J443">
        <v>0</v>
      </c>
    </row>
    <row r="444" spans="1:10">
      <c r="A444">
        <v>443</v>
      </c>
      <c r="B444" t="s">
        <v>36</v>
      </c>
      <c r="C444" t="e">
        <v>#N/A</v>
      </c>
      <c r="D444" t="s">
        <v>19</v>
      </c>
      <c r="E444" t="s">
        <v>40</v>
      </c>
      <c r="F444">
        <v>99999999</v>
      </c>
      <c r="G444">
        <v>99999999</v>
      </c>
      <c r="I444" t="s">
        <v>44</v>
      </c>
      <c r="J444">
        <v>0</v>
      </c>
    </row>
    <row r="445" spans="1:10">
      <c r="A445">
        <v>444</v>
      </c>
      <c r="B445" t="s">
        <v>36</v>
      </c>
      <c r="C445" t="e">
        <v>#N/A</v>
      </c>
      <c r="D445" t="s">
        <v>19</v>
      </c>
      <c r="E445" t="s">
        <v>40</v>
      </c>
      <c r="F445" t="s">
        <v>41</v>
      </c>
      <c r="G445" t="s">
        <v>64</v>
      </c>
      <c r="I445" t="s">
        <v>44</v>
      </c>
      <c r="J445">
        <v>0</v>
      </c>
    </row>
    <row r="446" spans="1:10">
      <c r="A446">
        <v>445</v>
      </c>
      <c r="B446" t="s">
        <v>36</v>
      </c>
      <c r="C446" t="e">
        <v>#N/A</v>
      </c>
      <c r="D446" t="s">
        <v>19</v>
      </c>
      <c r="E446" t="s">
        <v>40</v>
      </c>
      <c r="F446" t="s">
        <v>41</v>
      </c>
      <c r="G446" t="s">
        <v>49</v>
      </c>
      <c r="I446" t="s">
        <v>47</v>
      </c>
      <c r="J446">
        <v>0</v>
      </c>
    </row>
    <row r="447" spans="1:10">
      <c r="A447">
        <v>446</v>
      </c>
      <c r="B447" t="s">
        <v>36</v>
      </c>
      <c r="C447" t="e">
        <v>#N/A</v>
      </c>
      <c r="D447" t="s">
        <v>26</v>
      </c>
      <c r="E447" t="s">
        <v>40</v>
      </c>
      <c r="F447" t="s">
        <v>55</v>
      </c>
      <c r="G447" t="s">
        <v>41</v>
      </c>
      <c r="I447" t="s">
        <v>59</v>
      </c>
      <c r="J447">
        <v>0</v>
      </c>
    </row>
    <row r="448" spans="1:10">
      <c r="A448">
        <v>447</v>
      </c>
      <c r="B448" t="s">
        <v>36</v>
      </c>
      <c r="C448" t="e">
        <v>#N/A</v>
      </c>
      <c r="D448" t="s">
        <v>32</v>
      </c>
      <c r="E448" t="s">
        <v>40</v>
      </c>
      <c r="F448" t="s">
        <v>60</v>
      </c>
      <c r="G448">
        <v>99999999</v>
      </c>
      <c r="J448">
        <v>1</v>
      </c>
    </row>
    <row r="449" spans="1:10">
      <c r="A449">
        <v>448</v>
      </c>
      <c r="B449" t="s">
        <v>36</v>
      </c>
      <c r="C449" t="e">
        <v>#N/A</v>
      </c>
      <c r="D449" t="s">
        <v>34</v>
      </c>
      <c r="E449" t="s">
        <v>40</v>
      </c>
      <c r="F449" t="s">
        <v>60</v>
      </c>
      <c r="G449">
        <v>99999999</v>
      </c>
      <c r="J449">
        <v>0</v>
      </c>
    </row>
    <row r="450" spans="1:10">
      <c r="A450">
        <v>449</v>
      </c>
      <c r="B450" t="s">
        <v>36</v>
      </c>
      <c r="C450" t="e">
        <v>#N/A</v>
      </c>
      <c r="D450" t="s">
        <v>33</v>
      </c>
      <c r="E450" t="s">
        <v>40</v>
      </c>
      <c r="F450">
        <v>99999999</v>
      </c>
      <c r="G450">
        <v>99999999</v>
      </c>
      <c r="I450" t="s">
        <v>41</v>
      </c>
      <c r="J450">
        <v>0</v>
      </c>
    </row>
    <row r="451" spans="1:10">
      <c r="A451">
        <v>450</v>
      </c>
      <c r="B451" t="s">
        <v>36</v>
      </c>
      <c r="C451" t="e">
        <v>#N/A</v>
      </c>
      <c r="D451" t="s">
        <v>34</v>
      </c>
      <c r="F451">
        <v>99999999</v>
      </c>
      <c r="G451">
        <v>99999999</v>
      </c>
      <c r="J451">
        <v>0</v>
      </c>
    </row>
    <row r="452" spans="1:10">
      <c r="A452">
        <v>451</v>
      </c>
      <c r="B452" t="s">
        <v>36</v>
      </c>
      <c r="C452" t="e">
        <v>#N/A</v>
      </c>
      <c r="D452" t="s">
        <v>19</v>
      </c>
      <c r="E452" t="s">
        <v>58</v>
      </c>
      <c r="F452" t="s">
        <v>41</v>
      </c>
      <c r="G452" t="s">
        <v>65</v>
      </c>
      <c r="I452" t="s">
        <v>44</v>
      </c>
      <c r="J452">
        <v>0</v>
      </c>
    </row>
    <row r="453" spans="1:10">
      <c r="A453">
        <v>452</v>
      </c>
      <c r="B453" t="s">
        <v>36</v>
      </c>
      <c r="C453" t="e">
        <v>#N/A</v>
      </c>
      <c r="D453" t="s">
        <v>19</v>
      </c>
      <c r="E453" t="s">
        <v>40</v>
      </c>
      <c r="F453" t="s">
        <v>55</v>
      </c>
      <c r="G453" t="s">
        <v>41</v>
      </c>
      <c r="I453" t="s">
        <v>59</v>
      </c>
      <c r="J453">
        <v>0</v>
      </c>
    </row>
    <row r="454" spans="1:10">
      <c r="A454">
        <v>453</v>
      </c>
      <c r="B454" t="s">
        <v>36</v>
      </c>
      <c r="C454" t="e">
        <v>#N/A</v>
      </c>
      <c r="D454" t="s">
        <v>19</v>
      </c>
      <c r="E454" t="s">
        <v>40</v>
      </c>
      <c r="F454" t="s">
        <v>41</v>
      </c>
      <c r="G454" t="s">
        <v>64</v>
      </c>
      <c r="I454" t="s">
        <v>44</v>
      </c>
      <c r="J454">
        <v>0</v>
      </c>
    </row>
    <row r="455" spans="1:10">
      <c r="A455">
        <v>454</v>
      </c>
      <c r="B455" t="s">
        <v>36</v>
      </c>
      <c r="C455" t="e">
        <v>#N/A</v>
      </c>
      <c r="D455" t="s">
        <v>19</v>
      </c>
      <c r="E455" t="s">
        <v>48</v>
      </c>
      <c r="F455" t="s">
        <v>60</v>
      </c>
      <c r="G455" t="s">
        <v>65</v>
      </c>
      <c r="J455">
        <v>0</v>
      </c>
    </row>
    <row r="456" spans="1:10">
      <c r="A456">
        <v>455</v>
      </c>
      <c r="B456" t="s">
        <v>36</v>
      </c>
      <c r="C456" t="e">
        <v>#N/A</v>
      </c>
      <c r="D456" t="s">
        <v>19</v>
      </c>
      <c r="E456" t="s">
        <v>45</v>
      </c>
      <c r="F456" t="s">
        <v>60</v>
      </c>
      <c r="G456" t="s">
        <v>49</v>
      </c>
      <c r="J456">
        <v>0</v>
      </c>
    </row>
    <row r="457" spans="1:10">
      <c r="A457">
        <v>456</v>
      </c>
      <c r="B457" t="s">
        <v>36</v>
      </c>
      <c r="C457" t="e">
        <v>#N/A</v>
      </c>
      <c r="D457" t="s">
        <v>33</v>
      </c>
      <c r="E457" t="s">
        <v>40</v>
      </c>
      <c r="F457" t="s">
        <v>60</v>
      </c>
      <c r="G457">
        <v>99999999</v>
      </c>
      <c r="J457">
        <v>1</v>
      </c>
    </row>
    <row r="458" spans="1:10">
      <c r="A458">
        <v>457</v>
      </c>
      <c r="B458" t="s">
        <v>36</v>
      </c>
      <c r="C458" t="e">
        <v>#N/A</v>
      </c>
      <c r="D458" t="s">
        <v>19</v>
      </c>
      <c r="E458" t="s">
        <v>40</v>
      </c>
      <c r="F458">
        <v>99999999</v>
      </c>
      <c r="G458">
        <v>99999999</v>
      </c>
      <c r="I458" t="s">
        <v>41</v>
      </c>
      <c r="J458">
        <v>0</v>
      </c>
    </row>
    <row r="459" spans="1:10">
      <c r="A459">
        <v>458</v>
      </c>
      <c r="B459" t="s">
        <v>36</v>
      </c>
      <c r="C459" t="e">
        <v>#N/A</v>
      </c>
      <c r="D459" t="s">
        <v>19</v>
      </c>
      <c r="E459" t="s">
        <v>40</v>
      </c>
      <c r="F459" t="s">
        <v>50</v>
      </c>
      <c r="G459" t="s">
        <v>65</v>
      </c>
      <c r="I459" t="s">
        <v>59</v>
      </c>
      <c r="J459">
        <v>0</v>
      </c>
    </row>
    <row r="460" spans="1:10">
      <c r="A460">
        <v>459</v>
      </c>
      <c r="B460" t="s">
        <v>36</v>
      </c>
      <c r="C460" t="e">
        <v>#N/A</v>
      </c>
      <c r="D460" t="s">
        <v>26</v>
      </c>
      <c r="E460" t="s">
        <v>48</v>
      </c>
      <c r="F460" t="s">
        <v>60</v>
      </c>
      <c r="G460" t="s">
        <v>49</v>
      </c>
      <c r="J460">
        <v>0</v>
      </c>
    </row>
    <row r="461" spans="1:10">
      <c r="A461">
        <v>460</v>
      </c>
      <c r="B461" t="s">
        <v>36</v>
      </c>
      <c r="C461" t="e">
        <v>#N/A</v>
      </c>
      <c r="D461" t="s">
        <v>26</v>
      </c>
      <c r="E461" t="s">
        <v>42</v>
      </c>
      <c r="F461" t="s">
        <v>55</v>
      </c>
      <c r="G461" t="s">
        <v>41</v>
      </c>
      <c r="J461">
        <v>0</v>
      </c>
    </row>
    <row r="462" spans="1:10">
      <c r="A462">
        <v>461</v>
      </c>
      <c r="B462" t="s">
        <v>36</v>
      </c>
      <c r="C462" t="e">
        <v>#N/A</v>
      </c>
      <c r="D462" t="s">
        <v>19</v>
      </c>
      <c r="E462" t="s">
        <v>40</v>
      </c>
      <c r="F462" t="s">
        <v>61</v>
      </c>
      <c r="G462" t="s">
        <v>65</v>
      </c>
      <c r="J462">
        <v>1</v>
      </c>
    </row>
    <row r="463" spans="1:10">
      <c r="A463">
        <v>462</v>
      </c>
      <c r="B463" t="s">
        <v>36</v>
      </c>
      <c r="C463" t="e">
        <v>#N/A</v>
      </c>
      <c r="D463" t="s">
        <v>33</v>
      </c>
      <c r="E463" t="s">
        <v>58</v>
      </c>
      <c r="F463">
        <v>99999999</v>
      </c>
      <c r="G463">
        <v>99999999</v>
      </c>
      <c r="J463">
        <v>1</v>
      </c>
    </row>
    <row r="464" spans="1:10">
      <c r="A464">
        <v>463</v>
      </c>
      <c r="B464" t="s">
        <v>36</v>
      </c>
      <c r="C464" t="e">
        <v>#N/A</v>
      </c>
      <c r="D464" t="s">
        <v>19</v>
      </c>
      <c r="E464" t="s">
        <v>58</v>
      </c>
      <c r="F464" t="s">
        <v>41</v>
      </c>
      <c r="G464" t="s">
        <v>41</v>
      </c>
      <c r="I464" t="s">
        <v>44</v>
      </c>
      <c r="J464">
        <v>0</v>
      </c>
    </row>
    <row r="465" spans="1:10">
      <c r="A465">
        <v>464</v>
      </c>
      <c r="B465" t="s">
        <v>36</v>
      </c>
      <c r="C465" t="e">
        <v>#N/A</v>
      </c>
      <c r="D465" t="s">
        <v>33</v>
      </c>
      <c r="E465" t="s">
        <v>58</v>
      </c>
      <c r="F465">
        <v>99999999</v>
      </c>
      <c r="G465">
        <v>99999999</v>
      </c>
      <c r="J465">
        <v>1</v>
      </c>
    </row>
    <row r="466" spans="1:10">
      <c r="A466">
        <v>465</v>
      </c>
      <c r="B466" t="s">
        <v>36</v>
      </c>
      <c r="C466" t="e">
        <v>#N/A</v>
      </c>
      <c r="D466" t="s">
        <v>19</v>
      </c>
      <c r="F466">
        <v>99999999</v>
      </c>
      <c r="G466">
        <v>99999999</v>
      </c>
      <c r="J466">
        <v>0</v>
      </c>
    </row>
    <row r="467" spans="1:10">
      <c r="A467">
        <v>466</v>
      </c>
      <c r="B467" t="s">
        <v>36</v>
      </c>
      <c r="C467" t="e">
        <v>#N/A</v>
      </c>
      <c r="D467" t="s">
        <v>30</v>
      </c>
      <c r="E467" t="s">
        <v>40</v>
      </c>
      <c r="F467">
        <v>99999999</v>
      </c>
      <c r="G467">
        <v>99999999</v>
      </c>
      <c r="J467">
        <v>1</v>
      </c>
    </row>
    <row r="468" spans="1:10">
      <c r="A468">
        <v>467</v>
      </c>
      <c r="B468" t="s">
        <v>36</v>
      </c>
      <c r="C468" t="e">
        <v>#N/A</v>
      </c>
      <c r="D468" t="s">
        <v>19</v>
      </c>
      <c r="E468" t="s">
        <v>40</v>
      </c>
      <c r="F468" t="s">
        <v>55</v>
      </c>
      <c r="G468" t="s">
        <v>49</v>
      </c>
      <c r="J468">
        <v>1</v>
      </c>
    </row>
    <row r="469" spans="1:10">
      <c r="A469">
        <v>468</v>
      </c>
      <c r="B469" t="s">
        <v>36</v>
      </c>
      <c r="C469" t="e">
        <v>#N/A</v>
      </c>
      <c r="D469" t="s">
        <v>26</v>
      </c>
      <c r="E469" t="s">
        <v>48</v>
      </c>
      <c r="F469" t="s">
        <v>60</v>
      </c>
      <c r="G469" t="s">
        <v>49</v>
      </c>
      <c r="J469">
        <v>0</v>
      </c>
    </row>
    <row r="470" spans="1:10">
      <c r="A470">
        <v>469</v>
      </c>
      <c r="B470" t="s">
        <v>36</v>
      </c>
      <c r="C470" t="e">
        <v>#N/A</v>
      </c>
      <c r="D470" t="s">
        <v>30</v>
      </c>
      <c r="E470" t="s">
        <v>40</v>
      </c>
      <c r="F470">
        <v>99999999</v>
      </c>
      <c r="G470">
        <v>99999999</v>
      </c>
      <c r="J470">
        <v>0</v>
      </c>
    </row>
    <row r="471" spans="1:10">
      <c r="A471">
        <v>470</v>
      </c>
      <c r="B471" t="s">
        <v>36</v>
      </c>
      <c r="C471" t="e">
        <v>#N/A</v>
      </c>
      <c r="D471" t="s">
        <v>26</v>
      </c>
      <c r="E471" t="s">
        <v>42</v>
      </c>
      <c r="F471" t="s">
        <v>55</v>
      </c>
      <c r="G471" t="s">
        <v>41</v>
      </c>
      <c r="J471">
        <v>0</v>
      </c>
    </row>
    <row r="472" spans="1:10">
      <c r="A472">
        <v>471</v>
      </c>
      <c r="B472" t="s">
        <v>36</v>
      </c>
      <c r="C472" t="e">
        <v>#N/A</v>
      </c>
      <c r="D472" t="s">
        <v>30</v>
      </c>
      <c r="E472" t="s">
        <v>48</v>
      </c>
      <c r="F472" t="s">
        <v>41</v>
      </c>
      <c r="G472" t="s">
        <v>49</v>
      </c>
      <c r="J472">
        <v>0</v>
      </c>
    </row>
    <row r="473" spans="1:10">
      <c r="A473">
        <v>472</v>
      </c>
      <c r="B473" t="s">
        <v>17</v>
      </c>
      <c r="C473" t="s">
        <v>18</v>
      </c>
      <c r="D473" t="s">
        <v>19</v>
      </c>
      <c r="E473" t="s">
        <v>48</v>
      </c>
      <c r="F473" t="s">
        <v>41</v>
      </c>
      <c r="G473" t="s">
        <v>41</v>
      </c>
      <c r="H473" t="s">
        <v>51</v>
      </c>
      <c r="I473" t="s">
        <v>44</v>
      </c>
      <c r="J473">
        <v>0</v>
      </c>
    </row>
    <row r="474" spans="1:10">
      <c r="A474">
        <v>473</v>
      </c>
      <c r="B474" t="s">
        <v>17</v>
      </c>
      <c r="C474" t="s">
        <v>18</v>
      </c>
      <c r="D474" t="s">
        <v>26</v>
      </c>
      <c r="E474" t="s">
        <v>40</v>
      </c>
      <c r="F474" t="s">
        <v>41</v>
      </c>
      <c r="G474" t="s">
        <v>41</v>
      </c>
      <c r="H474" t="s">
        <v>41</v>
      </c>
      <c r="I474" t="s">
        <v>54</v>
      </c>
      <c r="J474">
        <v>0</v>
      </c>
    </row>
    <row r="475" spans="1:10">
      <c r="A475">
        <v>474</v>
      </c>
      <c r="B475" t="s">
        <v>17</v>
      </c>
      <c r="C475" t="s">
        <v>23</v>
      </c>
      <c r="D475" t="s">
        <v>39</v>
      </c>
      <c r="E475" t="s">
        <v>40</v>
      </c>
      <c r="F475" t="s">
        <v>41</v>
      </c>
      <c r="G475" t="s">
        <v>41</v>
      </c>
      <c r="H475">
        <v>99999998</v>
      </c>
      <c r="I475" t="s">
        <v>44</v>
      </c>
      <c r="J475">
        <v>0</v>
      </c>
    </row>
    <row r="476" spans="1:10">
      <c r="A476">
        <v>475</v>
      </c>
      <c r="B476" t="s">
        <v>17</v>
      </c>
      <c r="C476" t="s">
        <v>18</v>
      </c>
      <c r="D476" t="s">
        <v>19</v>
      </c>
      <c r="E476" t="s">
        <v>40</v>
      </c>
      <c r="F476" t="s">
        <v>41</v>
      </c>
      <c r="G476" t="s">
        <v>41</v>
      </c>
      <c r="H476">
        <v>99999998</v>
      </c>
      <c r="I476" t="s">
        <v>44</v>
      </c>
      <c r="J476">
        <v>0</v>
      </c>
    </row>
    <row r="477" spans="1:10">
      <c r="A477">
        <v>476</v>
      </c>
      <c r="B477" t="s">
        <v>17</v>
      </c>
      <c r="C477" t="s">
        <v>18</v>
      </c>
      <c r="D477" t="s">
        <v>19</v>
      </c>
      <c r="E477" t="s">
        <v>48</v>
      </c>
      <c r="F477" t="s">
        <v>41</v>
      </c>
      <c r="G477" t="s">
        <v>41</v>
      </c>
      <c r="H477">
        <v>99999998</v>
      </c>
      <c r="I477" t="s">
        <v>44</v>
      </c>
      <c r="J477">
        <v>0</v>
      </c>
    </row>
    <row r="478" spans="1:10">
      <c r="A478">
        <v>477</v>
      </c>
      <c r="B478" t="s">
        <v>17</v>
      </c>
      <c r="C478" t="s">
        <v>18</v>
      </c>
      <c r="D478" t="s">
        <v>19</v>
      </c>
      <c r="E478" t="s">
        <v>40</v>
      </c>
      <c r="F478" t="s">
        <v>60</v>
      </c>
      <c r="G478" t="s">
        <v>64</v>
      </c>
      <c r="H478" t="s">
        <v>41</v>
      </c>
      <c r="I478" t="s">
        <v>47</v>
      </c>
      <c r="J478">
        <v>0</v>
      </c>
    </row>
    <row r="479" spans="1:10">
      <c r="A479">
        <v>478</v>
      </c>
      <c r="B479" t="s">
        <v>17</v>
      </c>
      <c r="C479" t="s">
        <v>18</v>
      </c>
      <c r="D479" t="s">
        <v>19</v>
      </c>
      <c r="E479" t="s">
        <v>40</v>
      </c>
      <c r="F479" t="s">
        <v>41</v>
      </c>
      <c r="G479" t="s">
        <v>41</v>
      </c>
      <c r="H479">
        <v>99999998</v>
      </c>
      <c r="I479" t="s">
        <v>44</v>
      </c>
      <c r="J479">
        <v>0</v>
      </c>
    </row>
    <row r="480" spans="1:10">
      <c r="A480">
        <v>479</v>
      </c>
      <c r="B480" t="s">
        <v>17</v>
      </c>
      <c r="C480" t="s">
        <v>18</v>
      </c>
      <c r="D480" t="s">
        <v>19</v>
      </c>
      <c r="E480" t="s">
        <v>48</v>
      </c>
      <c r="F480" t="s">
        <v>41</v>
      </c>
      <c r="G480" t="s">
        <v>41</v>
      </c>
      <c r="H480">
        <v>99999998</v>
      </c>
      <c r="I480" t="s">
        <v>44</v>
      </c>
      <c r="J480">
        <v>0</v>
      </c>
    </row>
    <row r="481" spans="1:10">
      <c r="A481">
        <v>480</v>
      </c>
      <c r="B481" t="s">
        <v>17</v>
      </c>
      <c r="C481" t="s">
        <v>18</v>
      </c>
      <c r="D481" t="s">
        <v>19</v>
      </c>
      <c r="E481" t="s">
        <v>40</v>
      </c>
      <c r="F481" t="s">
        <v>41</v>
      </c>
      <c r="G481" t="s">
        <v>41</v>
      </c>
      <c r="H481" t="s">
        <v>41</v>
      </c>
      <c r="I481" t="s">
        <v>54</v>
      </c>
      <c r="J481">
        <v>0</v>
      </c>
    </row>
    <row r="482" spans="1:10">
      <c r="A482">
        <v>481</v>
      </c>
      <c r="B482" t="s">
        <v>17</v>
      </c>
      <c r="C482" t="s">
        <v>18</v>
      </c>
      <c r="D482" t="s">
        <v>19</v>
      </c>
      <c r="E482" t="s">
        <v>40</v>
      </c>
      <c r="F482" t="s">
        <v>41</v>
      </c>
      <c r="G482" t="s">
        <v>41</v>
      </c>
      <c r="H482">
        <v>99999998</v>
      </c>
      <c r="I482" t="s">
        <v>44</v>
      </c>
      <c r="J482">
        <v>0</v>
      </c>
    </row>
    <row r="483" spans="1:10">
      <c r="A483">
        <v>482</v>
      </c>
      <c r="B483" t="s">
        <v>17</v>
      </c>
      <c r="C483" t="s">
        <v>18</v>
      </c>
      <c r="D483" t="s">
        <v>19</v>
      </c>
      <c r="E483" t="s">
        <v>58</v>
      </c>
      <c r="F483" t="s">
        <v>41</v>
      </c>
      <c r="G483" t="s">
        <v>49</v>
      </c>
      <c r="H483" t="s">
        <v>57</v>
      </c>
      <c r="I483" t="s">
        <v>54</v>
      </c>
      <c r="J483">
        <v>0</v>
      </c>
    </row>
    <row r="484" spans="1:10">
      <c r="A484">
        <v>483</v>
      </c>
      <c r="B484" t="s">
        <v>17</v>
      </c>
      <c r="C484" t="s">
        <v>18</v>
      </c>
      <c r="D484" t="s">
        <v>19</v>
      </c>
      <c r="E484" t="s">
        <v>40</v>
      </c>
      <c r="F484" t="s">
        <v>61</v>
      </c>
      <c r="G484" t="s">
        <v>56</v>
      </c>
      <c r="H484" t="s">
        <v>63</v>
      </c>
      <c r="I484" t="s">
        <v>47</v>
      </c>
      <c r="J484">
        <v>0</v>
      </c>
    </row>
    <row r="485" spans="1:10">
      <c r="A485">
        <v>484</v>
      </c>
      <c r="B485" t="s">
        <v>36</v>
      </c>
      <c r="C485" t="e">
        <v>#N/A</v>
      </c>
      <c r="D485" t="s">
        <v>19</v>
      </c>
      <c r="E485" t="s">
        <v>58</v>
      </c>
      <c r="F485" t="s">
        <v>41</v>
      </c>
      <c r="G485" t="s">
        <v>49</v>
      </c>
      <c r="I485" t="s">
        <v>44</v>
      </c>
      <c r="J485">
        <v>0</v>
      </c>
    </row>
    <row r="486" spans="1:10">
      <c r="A486">
        <v>485</v>
      </c>
      <c r="B486" t="s">
        <v>36</v>
      </c>
      <c r="C486" t="e">
        <v>#N/A</v>
      </c>
      <c r="D486" t="s">
        <v>19</v>
      </c>
      <c r="E486" t="s">
        <v>40</v>
      </c>
      <c r="F486" t="s">
        <v>41</v>
      </c>
      <c r="G486" t="s">
        <v>49</v>
      </c>
      <c r="I486" t="s">
        <v>44</v>
      </c>
      <c r="J486">
        <v>0</v>
      </c>
    </row>
    <row r="487" spans="1:10">
      <c r="A487">
        <v>486</v>
      </c>
      <c r="B487" t="s">
        <v>36</v>
      </c>
      <c r="C487" t="e">
        <v>#N/A</v>
      </c>
      <c r="D487" t="s">
        <v>19</v>
      </c>
      <c r="E487" t="s">
        <v>40</v>
      </c>
      <c r="F487" t="s">
        <v>50</v>
      </c>
      <c r="G487" t="s">
        <v>41</v>
      </c>
      <c r="I487" t="s">
        <v>52</v>
      </c>
      <c r="J487">
        <v>0</v>
      </c>
    </row>
    <row r="488" spans="1:10">
      <c r="A488">
        <v>487</v>
      </c>
      <c r="B488" t="s">
        <v>36</v>
      </c>
      <c r="C488" t="e">
        <v>#N/A</v>
      </c>
      <c r="D488" t="s">
        <v>19</v>
      </c>
      <c r="E488" t="s">
        <v>48</v>
      </c>
      <c r="F488">
        <v>99999999</v>
      </c>
      <c r="G488">
        <v>99999999</v>
      </c>
      <c r="J488">
        <v>0</v>
      </c>
    </row>
    <row r="489" spans="1:10">
      <c r="A489">
        <v>488</v>
      </c>
      <c r="B489" t="s">
        <v>36</v>
      </c>
      <c r="C489" t="e">
        <v>#N/A</v>
      </c>
      <c r="D489" t="s">
        <v>30</v>
      </c>
      <c r="E489" t="s">
        <v>45</v>
      </c>
      <c r="F489" t="s">
        <v>41</v>
      </c>
      <c r="G489" t="s">
        <v>65</v>
      </c>
      <c r="I489" t="s">
        <v>41</v>
      </c>
      <c r="J489">
        <v>0</v>
      </c>
    </row>
    <row r="490" spans="1:10">
      <c r="A490">
        <v>489</v>
      </c>
      <c r="B490" t="s">
        <v>36</v>
      </c>
      <c r="C490" t="e">
        <v>#N/A</v>
      </c>
      <c r="D490" t="s">
        <v>19</v>
      </c>
      <c r="E490" t="s">
        <v>58</v>
      </c>
      <c r="F490" t="s">
        <v>60</v>
      </c>
      <c r="G490" t="s">
        <v>49</v>
      </c>
      <c r="I490" t="s">
        <v>59</v>
      </c>
      <c r="J490">
        <v>0</v>
      </c>
    </row>
    <row r="491" spans="1:10">
      <c r="A491">
        <v>490</v>
      </c>
      <c r="B491" t="s">
        <v>36</v>
      </c>
      <c r="C491" t="e">
        <v>#N/A</v>
      </c>
      <c r="D491" t="s">
        <v>19</v>
      </c>
      <c r="E491" t="s">
        <v>40</v>
      </c>
      <c r="F491" t="s">
        <v>61</v>
      </c>
      <c r="G491" t="s">
        <v>65</v>
      </c>
      <c r="I491" t="s">
        <v>52</v>
      </c>
      <c r="J491">
        <v>0</v>
      </c>
    </row>
    <row r="492" spans="1:10">
      <c r="A492">
        <v>491</v>
      </c>
      <c r="B492" t="s">
        <v>36</v>
      </c>
      <c r="C492" t="e">
        <v>#N/A</v>
      </c>
      <c r="D492" t="s">
        <v>34</v>
      </c>
      <c r="E492" t="s">
        <v>40</v>
      </c>
      <c r="F492" t="s">
        <v>41</v>
      </c>
      <c r="G492">
        <v>99999999</v>
      </c>
      <c r="I492" t="s">
        <v>44</v>
      </c>
      <c r="J492">
        <v>0</v>
      </c>
    </row>
    <row r="493" spans="1:10">
      <c r="A493">
        <v>492</v>
      </c>
      <c r="B493" t="s">
        <v>36</v>
      </c>
      <c r="C493" t="e">
        <v>#N/A</v>
      </c>
      <c r="D493" t="s">
        <v>19</v>
      </c>
      <c r="E493" t="s">
        <v>40</v>
      </c>
      <c r="F493" t="s">
        <v>41</v>
      </c>
      <c r="G493" t="s">
        <v>64</v>
      </c>
      <c r="I493" t="s">
        <v>44</v>
      </c>
      <c r="J493">
        <v>1</v>
      </c>
    </row>
    <row r="494" spans="1:10">
      <c r="A494">
        <v>493</v>
      </c>
      <c r="B494" t="s">
        <v>36</v>
      </c>
      <c r="C494" t="e">
        <v>#N/A</v>
      </c>
      <c r="D494" t="s">
        <v>19</v>
      </c>
      <c r="E494" t="s">
        <v>48</v>
      </c>
      <c r="F494" t="s">
        <v>61</v>
      </c>
      <c r="G494" t="s">
        <v>49</v>
      </c>
      <c r="I494" t="s">
        <v>62</v>
      </c>
      <c r="J494">
        <v>0</v>
      </c>
    </row>
    <row r="495" spans="1:10">
      <c r="A495">
        <v>494</v>
      </c>
      <c r="B495" t="s">
        <v>36</v>
      </c>
      <c r="C495" t="e">
        <v>#N/A</v>
      </c>
      <c r="D495" t="s">
        <v>19</v>
      </c>
      <c r="E495" t="s">
        <v>42</v>
      </c>
      <c r="F495" t="s">
        <v>41</v>
      </c>
      <c r="G495">
        <v>99999999</v>
      </c>
      <c r="I495" t="s">
        <v>41</v>
      </c>
      <c r="J495">
        <v>0</v>
      </c>
    </row>
    <row r="496" spans="1:10">
      <c r="A496">
        <v>495</v>
      </c>
      <c r="B496" t="s">
        <v>36</v>
      </c>
      <c r="C496" t="e">
        <v>#N/A</v>
      </c>
      <c r="D496" t="s">
        <v>34</v>
      </c>
      <c r="J496">
        <v>0</v>
      </c>
    </row>
    <row r="497" spans="1:10">
      <c r="A497">
        <v>496</v>
      </c>
      <c r="B497" t="s">
        <v>36</v>
      </c>
      <c r="C497" t="e">
        <v>#N/A</v>
      </c>
      <c r="D497" t="s">
        <v>19</v>
      </c>
      <c r="E497" t="s">
        <v>58</v>
      </c>
      <c r="F497">
        <v>99999999</v>
      </c>
      <c r="G497">
        <v>99999999</v>
      </c>
      <c r="J497">
        <v>0</v>
      </c>
    </row>
    <row r="498" spans="1:10">
      <c r="A498">
        <v>497</v>
      </c>
      <c r="B498" t="s">
        <v>36</v>
      </c>
      <c r="C498" t="e">
        <v>#N/A</v>
      </c>
      <c r="D498" t="s">
        <v>34</v>
      </c>
      <c r="J498">
        <v>0</v>
      </c>
    </row>
    <row r="499" spans="1:10">
      <c r="A499">
        <v>498</v>
      </c>
      <c r="B499" t="s">
        <v>36</v>
      </c>
      <c r="C499" t="e">
        <v>#N/A</v>
      </c>
      <c r="D499" t="s">
        <v>19</v>
      </c>
      <c r="E499" t="s">
        <v>48</v>
      </c>
      <c r="F499" t="s">
        <v>61</v>
      </c>
      <c r="G499" t="s">
        <v>41</v>
      </c>
      <c r="I499" t="s">
        <v>47</v>
      </c>
      <c r="J499">
        <v>0</v>
      </c>
    </row>
    <row r="500" spans="1:10">
      <c r="A500">
        <v>499</v>
      </c>
      <c r="B500" t="s">
        <v>20</v>
      </c>
      <c r="C500" t="s">
        <v>21</v>
      </c>
      <c r="D500" t="s">
        <v>35</v>
      </c>
      <c r="E500" t="s">
        <v>40</v>
      </c>
      <c r="F500" t="s">
        <v>41</v>
      </c>
      <c r="G500" t="s">
        <v>41</v>
      </c>
      <c r="H500" t="s">
        <v>66</v>
      </c>
      <c r="I500" t="s">
        <v>54</v>
      </c>
      <c r="J500">
        <v>1</v>
      </c>
    </row>
    <row r="501" spans="1:10">
      <c r="A501">
        <v>500</v>
      </c>
      <c r="B501" t="s">
        <v>22</v>
      </c>
      <c r="C501" t="s">
        <v>23</v>
      </c>
      <c r="D501" t="s">
        <v>35</v>
      </c>
      <c r="E501" t="s">
        <v>48</v>
      </c>
      <c r="F501" t="s">
        <v>41</v>
      </c>
      <c r="G501" t="s">
        <v>41</v>
      </c>
      <c r="H501" t="s">
        <v>57</v>
      </c>
      <c r="I501" t="s">
        <v>44</v>
      </c>
      <c r="J501">
        <v>1</v>
      </c>
    </row>
    <row r="502" spans="1:10">
      <c r="A502">
        <v>501</v>
      </c>
      <c r="B502" t="s">
        <v>17</v>
      </c>
      <c r="C502" t="s">
        <v>18</v>
      </c>
      <c r="D502" t="s">
        <v>19</v>
      </c>
      <c r="E502" t="s">
        <v>40</v>
      </c>
      <c r="F502" t="s">
        <v>61</v>
      </c>
      <c r="G502" t="s">
        <v>56</v>
      </c>
      <c r="H502" t="s">
        <v>41</v>
      </c>
      <c r="I502" t="s">
        <v>52</v>
      </c>
      <c r="J502">
        <v>0</v>
      </c>
    </row>
    <row r="503" spans="1:10">
      <c r="A503">
        <v>502</v>
      </c>
      <c r="B503" t="s">
        <v>20</v>
      </c>
      <c r="C503" t="s">
        <v>21</v>
      </c>
      <c r="D503" t="s">
        <v>35</v>
      </c>
      <c r="E503" t="s">
        <v>40</v>
      </c>
      <c r="F503" t="s">
        <v>41</v>
      </c>
      <c r="G503" t="s">
        <v>56</v>
      </c>
      <c r="H503" t="s">
        <v>41</v>
      </c>
      <c r="I503" t="s">
        <v>54</v>
      </c>
      <c r="J503">
        <v>1</v>
      </c>
    </row>
    <row r="504" spans="1:10">
      <c r="A504">
        <v>503</v>
      </c>
      <c r="B504" t="s">
        <v>22</v>
      </c>
      <c r="C504" t="s">
        <v>23</v>
      </c>
      <c r="D504" t="s">
        <v>35</v>
      </c>
      <c r="E504" t="s">
        <v>48</v>
      </c>
      <c r="F504" t="s">
        <v>41</v>
      </c>
      <c r="G504" t="s">
        <v>41</v>
      </c>
      <c r="H504" t="s">
        <v>66</v>
      </c>
      <c r="I504" t="s">
        <v>44</v>
      </c>
      <c r="J504">
        <v>1</v>
      </c>
    </row>
    <row r="505" spans="1:10">
      <c r="A505">
        <v>504</v>
      </c>
      <c r="B505" t="s">
        <v>17</v>
      </c>
      <c r="C505" t="s">
        <v>18</v>
      </c>
      <c r="D505" t="s">
        <v>19</v>
      </c>
      <c r="E505" t="s">
        <v>48</v>
      </c>
      <c r="F505" t="s">
        <v>55</v>
      </c>
      <c r="G505" t="s">
        <v>49</v>
      </c>
      <c r="H505" t="s">
        <v>63</v>
      </c>
      <c r="I505" t="s">
        <v>47</v>
      </c>
      <c r="J505">
        <v>0</v>
      </c>
    </row>
    <row r="506" spans="1:10">
      <c r="A506">
        <v>505</v>
      </c>
      <c r="B506" t="s">
        <v>22</v>
      </c>
      <c r="C506" t="s">
        <v>23</v>
      </c>
      <c r="D506" t="s">
        <v>35</v>
      </c>
      <c r="E506" t="s">
        <v>48</v>
      </c>
      <c r="F506" t="s">
        <v>41</v>
      </c>
      <c r="G506" t="s">
        <v>41</v>
      </c>
      <c r="H506" t="s">
        <v>66</v>
      </c>
      <c r="I506" t="s">
        <v>44</v>
      </c>
      <c r="J506">
        <v>1</v>
      </c>
    </row>
    <row r="507" spans="1:10">
      <c r="A507">
        <v>506</v>
      </c>
      <c r="B507" t="s">
        <v>20</v>
      </c>
      <c r="C507" t="s">
        <v>21</v>
      </c>
      <c r="D507" t="s">
        <v>19</v>
      </c>
      <c r="E507" t="s">
        <v>40</v>
      </c>
      <c r="F507" t="s">
        <v>41</v>
      </c>
      <c r="G507" t="s">
        <v>56</v>
      </c>
      <c r="H507">
        <v>99999998</v>
      </c>
      <c r="I507" t="s">
        <v>54</v>
      </c>
      <c r="J507">
        <v>1</v>
      </c>
    </row>
    <row r="508" spans="1:10">
      <c r="A508">
        <v>507</v>
      </c>
      <c r="B508" t="s">
        <v>22</v>
      </c>
      <c r="C508" t="s">
        <v>21</v>
      </c>
      <c r="D508" t="s">
        <v>32</v>
      </c>
      <c r="E508" t="s">
        <v>58</v>
      </c>
      <c r="F508" t="s">
        <v>41</v>
      </c>
      <c r="G508" t="s">
        <v>41</v>
      </c>
      <c r="I508" t="s">
        <v>44</v>
      </c>
      <c r="J508">
        <v>1</v>
      </c>
    </row>
    <row r="509" spans="1:10">
      <c r="A509">
        <v>508</v>
      </c>
      <c r="B509" t="s">
        <v>31</v>
      </c>
      <c r="C509" t="s">
        <v>25</v>
      </c>
      <c r="D509" t="s">
        <v>30</v>
      </c>
      <c r="E509" t="s">
        <v>40</v>
      </c>
      <c r="F509" t="s">
        <v>41</v>
      </c>
      <c r="G509" t="s">
        <v>49</v>
      </c>
      <c r="I509" t="s">
        <v>44</v>
      </c>
      <c r="J509">
        <v>1</v>
      </c>
    </row>
    <row r="510" spans="1:10">
      <c r="A510">
        <v>509</v>
      </c>
      <c r="B510" t="s">
        <v>17</v>
      </c>
      <c r="C510" t="s">
        <v>18</v>
      </c>
      <c r="D510" t="s">
        <v>19</v>
      </c>
      <c r="E510" t="s">
        <v>48</v>
      </c>
      <c r="F510" t="s">
        <v>41</v>
      </c>
      <c r="G510" t="s">
        <v>64</v>
      </c>
      <c r="H510">
        <v>99999998</v>
      </c>
      <c r="I510" t="s">
        <v>54</v>
      </c>
      <c r="J510">
        <v>0</v>
      </c>
    </row>
    <row r="511" spans="1:10">
      <c r="A511">
        <v>510</v>
      </c>
      <c r="B511" t="s">
        <v>36</v>
      </c>
      <c r="C511" t="e">
        <v>#N/A</v>
      </c>
      <c r="D511" t="s">
        <v>30</v>
      </c>
      <c r="E511" t="s">
        <v>40</v>
      </c>
      <c r="F511" t="s">
        <v>41</v>
      </c>
      <c r="G511" t="s">
        <v>49</v>
      </c>
      <c r="H511" t="s">
        <v>57</v>
      </c>
      <c r="I511" t="s">
        <v>44</v>
      </c>
      <c r="J511">
        <v>0</v>
      </c>
    </row>
    <row r="512" spans="1:10">
      <c r="A512">
        <v>511</v>
      </c>
      <c r="B512" t="s">
        <v>36</v>
      </c>
      <c r="C512" t="e">
        <v>#N/A</v>
      </c>
      <c r="D512" t="s">
        <v>30</v>
      </c>
      <c r="E512" t="s">
        <v>45</v>
      </c>
      <c r="F512" t="s">
        <v>55</v>
      </c>
      <c r="G512" t="s">
        <v>41</v>
      </c>
      <c r="I512" t="s">
        <v>44</v>
      </c>
      <c r="J512">
        <v>0</v>
      </c>
    </row>
    <row r="513" spans="1:10">
      <c r="A513">
        <v>512</v>
      </c>
      <c r="B513" t="s">
        <v>36</v>
      </c>
      <c r="C513" t="e">
        <v>#N/A</v>
      </c>
      <c r="D513" t="s">
        <v>39</v>
      </c>
      <c r="E513" t="s">
        <v>48</v>
      </c>
      <c r="F513" t="s">
        <v>41</v>
      </c>
      <c r="G513" t="s">
        <v>65</v>
      </c>
      <c r="I513" t="s">
        <v>44</v>
      </c>
      <c r="J513">
        <v>0</v>
      </c>
    </row>
    <row r="514" spans="1:10">
      <c r="A514">
        <v>513</v>
      </c>
      <c r="B514" t="s">
        <v>36</v>
      </c>
      <c r="C514" t="e">
        <v>#N/A</v>
      </c>
      <c r="D514" t="s">
        <v>19</v>
      </c>
      <c r="E514" t="s">
        <v>58</v>
      </c>
      <c r="F514" t="s">
        <v>55</v>
      </c>
      <c r="G514" t="s">
        <v>41</v>
      </c>
      <c r="I514" t="s">
        <v>47</v>
      </c>
      <c r="J514">
        <v>0</v>
      </c>
    </row>
    <row r="515" spans="1:10">
      <c r="A515">
        <v>514</v>
      </c>
      <c r="B515" t="s">
        <v>36</v>
      </c>
      <c r="C515" t="e">
        <v>#N/A</v>
      </c>
      <c r="D515" t="s">
        <v>39</v>
      </c>
      <c r="E515" t="s">
        <v>48</v>
      </c>
      <c r="F515" t="s">
        <v>41</v>
      </c>
      <c r="G515" t="s">
        <v>49</v>
      </c>
      <c r="I515" t="s">
        <v>41</v>
      </c>
      <c r="J515">
        <v>0</v>
      </c>
    </row>
    <row r="516" spans="1:10">
      <c r="A516">
        <v>515</v>
      </c>
      <c r="B516" t="s">
        <v>36</v>
      </c>
      <c r="C516" t="e">
        <v>#N/A</v>
      </c>
      <c r="D516" t="s">
        <v>19</v>
      </c>
      <c r="E516" t="s">
        <v>40</v>
      </c>
      <c r="F516">
        <v>99999999</v>
      </c>
      <c r="G516">
        <v>99999999</v>
      </c>
      <c r="J516">
        <v>0</v>
      </c>
    </row>
    <row r="517" spans="1:10">
      <c r="A517">
        <v>516</v>
      </c>
      <c r="B517" t="s">
        <v>17</v>
      </c>
      <c r="C517" t="s">
        <v>18</v>
      </c>
      <c r="D517" t="s">
        <v>30</v>
      </c>
      <c r="E517" t="s">
        <v>40</v>
      </c>
      <c r="F517" t="s">
        <v>41</v>
      </c>
      <c r="G517" t="s">
        <v>41</v>
      </c>
      <c r="H517">
        <v>99999998</v>
      </c>
      <c r="I517" t="s">
        <v>44</v>
      </c>
      <c r="J517">
        <v>0</v>
      </c>
    </row>
    <row r="518" spans="1:10">
      <c r="A518">
        <v>517</v>
      </c>
      <c r="B518" t="s">
        <v>17</v>
      </c>
      <c r="C518" t="s">
        <v>18</v>
      </c>
      <c r="D518" t="s">
        <v>39</v>
      </c>
      <c r="E518" t="s">
        <v>40</v>
      </c>
      <c r="F518" t="s">
        <v>55</v>
      </c>
      <c r="G518" t="s">
        <v>65</v>
      </c>
      <c r="H518">
        <v>99999998</v>
      </c>
      <c r="I518" t="s">
        <v>54</v>
      </c>
      <c r="J518">
        <v>0</v>
      </c>
    </row>
    <row r="519" spans="1:10">
      <c r="A519">
        <v>518</v>
      </c>
      <c r="B519" t="s">
        <v>17</v>
      </c>
      <c r="C519" t="s">
        <v>18</v>
      </c>
      <c r="D519" t="s">
        <v>39</v>
      </c>
      <c r="E519" t="s">
        <v>40</v>
      </c>
      <c r="F519" t="s">
        <v>41</v>
      </c>
      <c r="G519" t="s">
        <v>64</v>
      </c>
      <c r="H519">
        <v>99999998</v>
      </c>
      <c r="I519" t="s">
        <v>54</v>
      </c>
      <c r="J519">
        <v>0</v>
      </c>
    </row>
    <row r="520" spans="1:10">
      <c r="A520">
        <v>519</v>
      </c>
      <c r="B520" t="s">
        <v>17</v>
      </c>
      <c r="C520" t="s">
        <v>18</v>
      </c>
      <c r="D520" t="s">
        <v>19</v>
      </c>
      <c r="E520" t="s">
        <v>40</v>
      </c>
      <c r="F520" t="s">
        <v>41</v>
      </c>
      <c r="G520" t="s">
        <v>41</v>
      </c>
      <c r="H520">
        <v>99999998</v>
      </c>
      <c r="I520" t="s">
        <v>47</v>
      </c>
      <c r="J520">
        <v>0</v>
      </c>
    </row>
    <row r="521" spans="1:10">
      <c r="A521">
        <v>520</v>
      </c>
      <c r="B521" t="s">
        <v>17</v>
      </c>
      <c r="C521" t="s">
        <v>18</v>
      </c>
      <c r="D521" t="s">
        <v>26</v>
      </c>
      <c r="E521" t="s">
        <v>40</v>
      </c>
      <c r="F521" t="s">
        <v>41</v>
      </c>
      <c r="G521" t="s">
        <v>65</v>
      </c>
      <c r="H521">
        <v>99999998</v>
      </c>
      <c r="I521" t="s">
        <v>44</v>
      </c>
      <c r="J521">
        <v>0</v>
      </c>
    </row>
    <row r="522" spans="1:10">
      <c r="A522">
        <v>521</v>
      </c>
      <c r="B522" t="s">
        <v>17</v>
      </c>
      <c r="C522" t="s">
        <v>18</v>
      </c>
      <c r="D522" t="s">
        <v>26</v>
      </c>
      <c r="E522" t="s">
        <v>40</v>
      </c>
      <c r="F522" t="s">
        <v>41</v>
      </c>
      <c r="G522" t="s">
        <v>41</v>
      </c>
      <c r="H522">
        <v>99999998</v>
      </c>
      <c r="I522" t="s">
        <v>54</v>
      </c>
      <c r="J522">
        <v>0</v>
      </c>
    </row>
    <row r="523" spans="1:10">
      <c r="A523">
        <v>522</v>
      </c>
      <c r="B523" t="s">
        <v>17</v>
      </c>
      <c r="C523" t="s">
        <v>18</v>
      </c>
      <c r="D523" t="s">
        <v>19</v>
      </c>
      <c r="E523" t="s">
        <v>40</v>
      </c>
      <c r="F523" t="s">
        <v>41</v>
      </c>
      <c r="G523" t="s">
        <v>41</v>
      </c>
      <c r="H523">
        <v>99999998</v>
      </c>
      <c r="I523" t="s">
        <v>41</v>
      </c>
      <c r="J523">
        <v>0</v>
      </c>
    </row>
    <row r="524" spans="1:10">
      <c r="A524">
        <v>523</v>
      </c>
      <c r="B524" t="s">
        <v>17</v>
      </c>
      <c r="C524" t="s">
        <v>23</v>
      </c>
      <c r="D524" t="s">
        <v>32</v>
      </c>
      <c r="E524" t="s">
        <v>48</v>
      </c>
      <c r="F524" t="s">
        <v>41</v>
      </c>
      <c r="G524" t="s">
        <v>41</v>
      </c>
      <c r="H524">
        <v>99999998</v>
      </c>
      <c r="I524" t="s">
        <v>44</v>
      </c>
      <c r="J524">
        <v>1</v>
      </c>
    </row>
    <row r="525" spans="1:10">
      <c r="A525">
        <v>524</v>
      </c>
      <c r="B525" t="s">
        <v>17</v>
      </c>
      <c r="C525" t="s">
        <v>18</v>
      </c>
      <c r="D525" t="s">
        <v>19</v>
      </c>
      <c r="E525" t="s">
        <v>40</v>
      </c>
      <c r="F525" t="s">
        <v>41</v>
      </c>
      <c r="G525" t="s">
        <v>41</v>
      </c>
      <c r="H525">
        <v>99999998</v>
      </c>
      <c r="I525" t="s">
        <v>41</v>
      </c>
      <c r="J525">
        <v>0</v>
      </c>
    </row>
    <row r="526" spans="1:10">
      <c r="A526">
        <v>525</v>
      </c>
      <c r="B526" t="s">
        <v>36</v>
      </c>
      <c r="C526" t="e">
        <v>#N/A</v>
      </c>
      <c r="D526" t="s">
        <v>19</v>
      </c>
      <c r="E526" t="s">
        <v>48</v>
      </c>
      <c r="F526" t="s">
        <v>41</v>
      </c>
      <c r="G526" t="s">
        <v>64</v>
      </c>
      <c r="H526">
        <v>99999998</v>
      </c>
      <c r="I526" t="s">
        <v>41</v>
      </c>
      <c r="J526">
        <v>1</v>
      </c>
    </row>
    <row r="527" spans="1:10">
      <c r="A527">
        <v>526</v>
      </c>
      <c r="B527" t="s">
        <v>36</v>
      </c>
      <c r="C527" t="e">
        <v>#N/A</v>
      </c>
      <c r="D527" t="s">
        <v>39</v>
      </c>
      <c r="E527" t="s">
        <v>40</v>
      </c>
      <c r="F527" t="s">
        <v>55</v>
      </c>
      <c r="G527" t="s">
        <v>41</v>
      </c>
      <c r="I527" t="s">
        <v>53</v>
      </c>
      <c r="J527">
        <v>0</v>
      </c>
    </row>
    <row r="528" spans="1:10">
      <c r="A528">
        <v>527</v>
      </c>
      <c r="B528" t="s">
        <v>36</v>
      </c>
      <c r="C528" t="e">
        <v>#N/A</v>
      </c>
      <c r="D528" t="s">
        <v>34</v>
      </c>
      <c r="E528" t="s">
        <v>40</v>
      </c>
      <c r="F528" t="s">
        <v>41</v>
      </c>
      <c r="G528" t="s">
        <v>41</v>
      </c>
      <c r="I528" t="s">
        <v>44</v>
      </c>
      <c r="J528">
        <v>0</v>
      </c>
    </row>
    <row r="529" spans="1:10">
      <c r="A529">
        <v>528</v>
      </c>
      <c r="B529" t="s">
        <v>36</v>
      </c>
      <c r="C529" t="e">
        <v>#N/A</v>
      </c>
      <c r="D529" t="s">
        <v>19</v>
      </c>
      <c r="E529" t="s">
        <v>40</v>
      </c>
      <c r="F529" t="s">
        <v>41</v>
      </c>
      <c r="G529" t="s">
        <v>41</v>
      </c>
      <c r="I529" t="s">
        <v>44</v>
      </c>
      <c r="J529">
        <v>0</v>
      </c>
    </row>
    <row r="530" spans="1:10">
      <c r="A530">
        <v>529</v>
      </c>
      <c r="B530" t="s">
        <v>36</v>
      </c>
      <c r="C530" t="e">
        <v>#N/A</v>
      </c>
      <c r="D530" t="s">
        <v>19</v>
      </c>
      <c r="E530" t="s">
        <v>48</v>
      </c>
      <c r="F530" t="s">
        <v>41</v>
      </c>
      <c r="G530" t="s">
        <v>41</v>
      </c>
      <c r="I530" t="s">
        <v>41</v>
      </c>
      <c r="J530">
        <v>0</v>
      </c>
    </row>
    <row r="531" spans="1:10">
      <c r="A531">
        <v>530</v>
      </c>
      <c r="B531" t="s">
        <v>36</v>
      </c>
      <c r="C531" t="e">
        <v>#N/A</v>
      </c>
      <c r="D531" t="s">
        <v>19</v>
      </c>
      <c r="E531" t="s">
        <v>48</v>
      </c>
      <c r="F531" t="s">
        <v>55</v>
      </c>
      <c r="G531" t="s">
        <v>41</v>
      </c>
      <c r="H531">
        <v>99999999</v>
      </c>
      <c r="I531" t="s">
        <v>52</v>
      </c>
      <c r="J531">
        <v>1</v>
      </c>
    </row>
    <row r="532" spans="1:10">
      <c r="A532">
        <v>531</v>
      </c>
      <c r="B532" t="s">
        <v>36</v>
      </c>
      <c r="C532" t="e">
        <v>#N/A</v>
      </c>
      <c r="D532" t="s">
        <v>19</v>
      </c>
      <c r="E532" t="s">
        <v>48</v>
      </c>
      <c r="F532" t="s">
        <v>55</v>
      </c>
      <c r="G532" t="s">
        <v>41</v>
      </c>
      <c r="H532">
        <v>99999999</v>
      </c>
      <c r="I532" t="s">
        <v>52</v>
      </c>
      <c r="J532">
        <v>0</v>
      </c>
    </row>
    <row r="533" spans="1:10">
      <c r="A533">
        <v>532</v>
      </c>
      <c r="B533" t="s">
        <v>36</v>
      </c>
      <c r="C533" t="e">
        <v>#N/A</v>
      </c>
      <c r="D533" t="s">
        <v>26</v>
      </c>
      <c r="F533">
        <v>99999999</v>
      </c>
      <c r="G533" t="s">
        <v>41</v>
      </c>
      <c r="I533" t="s">
        <v>41</v>
      </c>
      <c r="J533">
        <v>0</v>
      </c>
    </row>
    <row r="534" spans="1:10">
      <c r="A534">
        <v>533</v>
      </c>
      <c r="B534" t="s">
        <v>36</v>
      </c>
      <c r="C534" t="e">
        <v>#N/A</v>
      </c>
      <c r="D534" t="s">
        <v>19</v>
      </c>
      <c r="E534" t="s">
        <v>48</v>
      </c>
      <c r="F534" t="s">
        <v>41</v>
      </c>
      <c r="G534" t="s">
        <v>41</v>
      </c>
      <c r="I534" t="s">
        <v>41</v>
      </c>
      <c r="J534">
        <v>0</v>
      </c>
    </row>
    <row r="535" spans="1:10">
      <c r="A535">
        <v>534</v>
      </c>
      <c r="B535" t="s">
        <v>36</v>
      </c>
      <c r="C535" t="e">
        <v>#N/A</v>
      </c>
      <c r="D535" t="s">
        <v>19</v>
      </c>
      <c r="E535" t="s">
        <v>40</v>
      </c>
      <c r="F535" t="s">
        <v>41</v>
      </c>
      <c r="G535" t="s">
        <v>41</v>
      </c>
      <c r="I535" t="s">
        <v>44</v>
      </c>
      <c r="J535">
        <v>1</v>
      </c>
    </row>
    <row r="536" spans="1:10">
      <c r="A536">
        <v>535</v>
      </c>
      <c r="B536" t="s">
        <v>36</v>
      </c>
      <c r="C536" t="e">
        <v>#N/A</v>
      </c>
      <c r="D536" t="s">
        <v>19</v>
      </c>
      <c r="E536" t="s">
        <v>58</v>
      </c>
      <c r="F536" t="s">
        <v>55</v>
      </c>
      <c r="G536" t="s">
        <v>41</v>
      </c>
      <c r="I536" t="s">
        <v>47</v>
      </c>
      <c r="J536">
        <v>0</v>
      </c>
    </row>
    <row r="537" spans="1:10">
      <c r="A537">
        <v>536</v>
      </c>
      <c r="B537" t="s">
        <v>36</v>
      </c>
      <c r="C537" t="e">
        <v>#N/A</v>
      </c>
      <c r="D537" t="s">
        <v>19</v>
      </c>
      <c r="E537" t="s">
        <v>40</v>
      </c>
      <c r="F537" t="s">
        <v>41</v>
      </c>
      <c r="G537">
        <v>99999999</v>
      </c>
      <c r="I537" t="s">
        <v>44</v>
      </c>
      <c r="J537">
        <v>0</v>
      </c>
    </row>
    <row r="538" spans="1:10">
      <c r="A538">
        <v>537</v>
      </c>
      <c r="B538" t="s">
        <v>36</v>
      </c>
      <c r="C538" t="e">
        <v>#N/A</v>
      </c>
      <c r="D538" t="s">
        <v>26</v>
      </c>
      <c r="E538" t="s">
        <v>48</v>
      </c>
      <c r="F538" t="s">
        <v>41</v>
      </c>
      <c r="G538" t="s">
        <v>65</v>
      </c>
      <c r="I538" t="s">
        <v>47</v>
      </c>
      <c r="J538">
        <v>0</v>
      </c>
    </row>
    <row r="539" spans="1:10">
      <c r="A539">
        <v>538</v>
      </c>
      <c r="B539" t="s">
        <v>36</v>
      </c>
      <c r="C539" t="e">
        <v>#N/A</v>
      </c>
      <c r="D539" t="s">
        <v>19</v>
      </c>
      <c r="E539" t="s">
        <v>40</v>
      </c>
      <c r="F539" t="s">
        <v>41</v>
      </c>
      <c r="G539" t="s">
        <v>49</v>
      </c>
      <c r="I539" t="s">
        <v>52</v>
      </c>
      <c r="J539">
        <v>0</v>
      </c>
    </row>
    <row r="540" spans="1:10">
      <c r="A540">
        <v>539</v>
      </c>
      <c r="B540" t="s">
        <v>36</v>
      </c>
      <c r="C540" t="e">
        <v>#N/A</v>
      </c>
      <c r="D540" t="s">
        <v>19</v>
      </c>
      <c r="E540" t="s">
        <v>48</v>
      </c>
      <c r="F540" t="s">
        <v>41</v>
      </c>
      <c r="G540" t="s">
        <v>41</v>
      </c>
      <c r="I540" t="s">
        <v>41</v>
      </c>
      <c r="J540">
        <v>0</v>
      </c>
    </row>
    <row r="541" spans="1:10">
      <c r="A541">
        <v>540</v>
      </c>
      <c r="B541" t="s">
        <v>36</v>
      </c>
      <c r="C541" t="e">
        <v>#N/A</v>
      </c>
      <c r="D541" t="s">
        <v>19</v>
      </c>
      <c r="E541" t="s">
        <v>48</v>
      </c>
      <c r="F541" t="s">
        <v>41</v>
      </c>
      <c r="G541" t="s">
        <v>41</v>
      </c>
      <c r="J541">
        <v>0</v>
      </c>
    </row>
    <row r="542" spans="1:10">
      <c r="A542">
        <v>541</v>
      </c>
      <c r="B542" t="s">
        <v>36</v>
      </c>
      <c r="C542" t="e">
        <v>#N/A</v>
      </c>
      <c r="D542" t="s">
        <v>39</v>
      </c>
      <c r="E542" t="s">
        <v>58</v>
      </c>
      <c r="F542" t="s">
        <v>41</v>
      </c>
      <c r="G542" t="s">
        <v>65</v>
      </c>
      <c r="I542" t="s">
        <v>54</v>
      </c>
      <c r="J542">
        <v>0</v>
      </c>
    </row>
    <row r="543" spans="1:10">
      <c r="A543">
        <v>542</v>
      </c>
      <c r="B543" t="s">
        <v>36</v>
      </c>
      <c r="C543" t="e">
        <v>#N/A</v>
      </c>
      <c r="D543" t="s">
        <v>19</v>
      </c>
      <c r="E543" t="s">
        <v>40</v>
      </c>
      <c r="F543">
        <v>99999999</v>
      </c>
      <c r="G543">
        <v>99999999</v>
      </c>
      <c r="J543">
        <v>0</v>
      </c>
    </row>
    <row r="544" spans="1:10">
      <c r="A544">
        <v>543</v>
      </c>
      <c r="B544" t="s">
        <v>36</v>
      </c>
      <c r="C544" t="e">
        <v>#N/A</v>
      </c>
      <c r="D544" t="s">
        <v>34</v>
      </c>
      <c r="J544">
        <v>0</v>
      </c>
    </row>
    <row r="545" spans="1:10">
      <c r="A545">
        <v>544</v>
      </c>
      <c r="B545" t="s">
        <v>36</v>
      </c>
      <c r="C545" t="e">
        <v>#N/A</v>
      </c>
      <c r="D545" t="s">
        <v>19</v>
      </c>
      <c r="E545" t="s">
        <v>40</v>
      </c>
      <c r="F545" t="s">
        <v>41</v>
      </c>
      <c r="G545" t="s">
        <v>41</v>
      </c>
      <c r="J545">
        <v>0</v>
      </c>
    </row>
    <row r="546" spans="1:10">
      <c r="A546">
        <v>545</v>
      </c>
      <c r="B546" t="s">
        <v>36</v>
      </c>
      <c r="C546" t="e">
        <v>#N/A</v>
      </c>
      <c r="D546" t="s">
        <v>26</v>
      </c>
      <c r="E546" t="s">
        <v>40</v>
      </c>
      <c r="F546" t="s">
        <v>41</v>
      </c>
      <c r="G546">
        <v>99999999</v>
      </c>
      <c r="J546">
        <v>0</v>
      </c>
    </row>
    <row r="547" spans="1:10">
      <c r="A547">
        <v>546</v>
      </c>
      <c r="B547" t="s">
        <v>36</v>
      </c>
      <c r="C547" t="e">
        <v>#N/A</v>
      </c>
      <c r="D547" t="s">
        <v>19</v>
      </c>
      <c r="E547" t="s">
        <v>40</v>
      </c>
      <c r="F547" t="s">
        <v>41</v>
      </c>
      <c r="G547">
        <v>99999999</v>
      </c>
      <c r="J547">
        <v>0</v>
      </c>
    </row>
    <row r="548" spans="1:10">
      <c r="A548">
        <v>547</v>
      </c>
      <c r="B548" t="s">
        <v>36</v>
      </c>
      <c r="C548" t="e">
        <v>#N/A</v>
      </c>
      <c r="D548" t="s">
        <v>19</v>
      </c>
      <c r="J548">
        <v>0</v>
      </c>
    </row>
    <row r="549" spans="1:10">
      <c r="A549">
        <v>548</v>
      </c>
      <c r="B549" t="s">
        <v>36</v>
      </c>
      <c r="C549" t="e">
        <v>#N/A</v>
      </c>
      <c r="D549" t="s">
        <v>19</v>
      </c>
      <c r="E549" t="s">
        <v>48</v>
      </c>
      <c r="F549" t="s">
        <v>41</v>
      </c>
      <c r="G549" t="s">
        <v>41</v>
      </c>
      <c r="J549">
        <v>0</v>
      </c>
    </row>
    <row r="550" spans="1:10">
      <c r="A550">
        <v>549</v>
      </c>
      <c r="B550" t="s">
        <v>17</v>
      </c>
      <c r="C550" t="s">
        <v>18</v>
      </c>
      <c r="D550" t="s">
        <v>26</v>
      </c>
      <c r="E550" t="s">
        <v>58</v>
      </c>
      <c r="F550" t="s">
        <v>41</v>
      </c>
      <c r="G550" t="s">
        <v>41</v>
      </c>
      <c r="H550">
        <v>99999998</v>
      </c>
      <c r="I550" t="s">
        <v>41</v>
      </c>
      <c r="J550">
        <v>0</v>
      </c>
    </row>
    <row r="551" spans="1:10">
      <c r="A551">
        <v>550</v>
      </c>
      <c r="B551" t="s">
        <v>17</v>
      </c>
      <c r="C551" t="s">
        <v>18</v>
      </c>
      <c r="D551" t="s">
        <v>26</v>
      </c>
      <c r="E551" t="s">
        <v>42</v>
      </c>
      <c r="F551" t="s">
        <v>41</v>
      </c>
      <c r="G551" t="s">
        <v>65</v>
      </c>
      <c r="H551">
        <v>99999998</v>
      </c>
      <c r="I551" t="s">
        <v>47</v>
      </c>
      <c r="J551">
        <v>0</v>
      </c>
    </row>
    <row r="552" spans="1:10">
      <c r="A552">
        <v>551</v>
      </c>
      <c r="B552" t="s">
        <v>17</v>
      </c>
      <c r="C552" t="s">
        <v>18</v>
      </c>
      <c r="D552" t="s">
        <v>26</v>
      </c>
      <c r="E552" t="s">
        <v>42</v>
      </c>
      <c r="F552" t="s">
        <v>41</v>
      </c>
      <c r="G552" t="s">
        <v>65</v>
      </c>
      <c r="H552">
        <v>99999998</v>
      </c>
      <c r="I552" t="s">
        <v>47</v>
      </c>
      <c r="J552">
        <v>0</v>
      </c>
    </row>
    <row r="553" spans="1:10">
      <c r="A553">
        <v>552</v>
      </c>
      <c r="B553" t="s">
        <v>17</v>
      </c>
      <c r="C553" t="s">
        <v>18</v>
      </c>
      <c r="D553" t="s">
        <v>26</v>
      </c>
      <c r="E553" t="s">
        <v>42</v>
      </c>
      <c r="F553" t="s">
        <v>41</v>
      </c>
      <c r="G553" t="s">
        <v>41</v>
      </c>
      <c r="H553">
        <v>99999998</v>
      </c>
      <c r="I553" t="s">
        <v>44</v>
      </c>
      <c r="J553">
        <v>0</v>
      </c>
    </row>
    <row r="554" spans="1:10">
      <c r="A554">
        <v>553</v>
      </c>
      <c r="B554" t="s">
        <v>36</v>
      </c>
      <c r="C554" t="e">
        <v>#N/A</v>
      </c>
      <c r="D554" t="s">
        <v>33</v>
      </c>
      <c r="E554" t="s">
        <v>42</v>
      </c>
      <c r="F554" t="s">
        <v>41</v>
      </c>
      <c r="G554" t="s">
        <v>65</v>
      </c>
      <c r="I554" t="s">
        <v>41</v>
      </c>
      <c r="J554">
        <v>0</v>
      </c>
    </row>
    <row r="555" spans="1:10">
      <c r="A555">
        <v>554</v>
      </c>
      <c r="B555" t="s">
        <v>36</v>
      </c>
      <c r="C555" t="e">
        <v>#N/A</v>
      </c>
      <c r="D555" t="s">
        <v>33</v>
      </c>
      <c r="E555" t="s">
        <v>58</v>
      </c>
      <c r="F555" t="s">
        <v>41</v>
      </c>
      <c r="G555" t="s">
        <v>56</v>
      </c>
      <c r="I555" t="s">
        <v>41</v>
      </c>
      <c r="J555">
        <v>0</v>
      </c>
    </row>
    <row r="556" spans="1:10">
      <c r="A556">
        <v>555</v>
      </c>
      <c r="B556" t="s">
        <v>36</v>
      </c>
      <c r="C556" t="e">
        <v>#N/A</v>
      </c>
      <c r="D556" t="s">
        <v>30</v>
      </c>
      <c r="E556" t="s">
        <v>58</v>
      </c>
      <c r="F556" t="s">
        <v>41</v>
      </c>
      <c r="G556" t="s">
        <v>56</v>
      </c>
      <c r="I556" t="s">
        <v>41</v>
      </c>
      <c r="J556">
        <v>0</v>
      </c>
    </row>
    <row r="557" spans="1:10">
      <c r="A557">
        <v>556</v>
      </c>
      <c r="B557" t="s">
        <v>36</v>
      </c>
      <c r="C557" t="e">
        <v>#N/A</v>
      </c>
      <c r="D557" t="s">
        <v>39</v>
      </c>
      <c r="E557" t="s">
        <v>40</v>
      </c>
      <c r="F557" t="s">
        <v>55</v>
      </c>
      <c r="G557" t="s">
        <v>41</v>
      </c>
      <c r="J557">
        <v>0</v>
      </c>
    </row>
    <row r="558" spans="1:10">
      <c r="A558">
        <v>557</v>
      </c>
      <c r="B558" t="s">
        <v>17</v>
      </c>
      <c r="C558" t="s">
        <v>21</v>
      </c>
      <c r="D558" t="s">
        <v>19</v>
      </c>
      <c r="E558" t="s">
        <v>40</v>
      </c>
      <c r="F558" t="s">
        <v>61</v>
      </c>
      <c r="G558" t="s">
        <v>41</v>
      </c>
      <c r="H558">
        <v>99999998</v>
      </c>
      <c r="I558" t="s">
        <v>54</v>
      </c>
      <c r="J558">
        <v>0</v>
      </c>
    </row>
  </sheetData>
  <autoFilter xmlns:etc="http://www.wps.cn/officeDocument/2017/etCustomData" ref="A1:J55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8"/>
  <sheetViews>
    <sheetView topLeftCell="D1" workbookViewId="0">
      <selection activeCell="D291" sqref="D291"/>
    </sheetView>
  </sheetViews>
  <sheetFormatPr defaultColWidth="9" defaultRowHeight="16.8"/>
  <cols>
    <col min="1" max="1" width="6.6328125" customWidth="1"/>
    <col min="2" max="2" width="57.2734375" customWidth="1"/>
    <col min="3" max="3" width="57.09375" customWidth="1"/>
    <col min="4" max="4" width="50.453125" customWidth="1"/>
    <col min="5" max="5" width="21.2734375" customWidth="1"/>
    <col min="6" max="6" width="18.453125" customWidth="1"/>
    <col min="7" max="7" width="14.1796875" customWidth="1"/>
    <col min="8" max="8" width="17.90625" customWidth="1"/>
    <col min="9" max="9" width="23.90625" customWidth="1"/>
    <col min="10" max="10" width="10.6328125" customWidth="1"/>
  </cols>
  <sheetData>
    <row r="1" spans="1:10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>
      <c r="A2">
        <v>1</v>
      </c>
      <c r="B2" t="s">
        <v>17</v>
      </c>
      <c r="C2" t="s">
        <v>18</v>
      </c>
      <c r="D2" t="s">
        <v>19</v>
      </c>
      <c r="E2" t="s">
        <v>40</v>
      </c>
      <c r="F2" t="s">
        <v>41</v>
      </c>
      <c r="G2" t="s">
        <v>41</v>
      </c>
      <c r="H2" t="s">
        <v>67</v>
      </c>
      <c r="I2" t="s">
        <v>41</v>
      </c>
      <c r="J2">
        <v>0</v>
      </c>
    </row>
    <row r="3" spans="1:10">
      <c r="A3">
        <v>2</v>
      </c>
      <c r="B3" t="s">
        <v>17</v>
      </c>
      <c r="C3" t="s">
        <v>18</v>
      </c>
      <c r="D3" t="s">
        <v>19</v>
      </c>
      <c r="E3" t="s">
        <v>40</v>
      </c>
      <c r="F3" t="s">
        <v>41</v>
      </c>
      <c r="G3" t="s">
        <v>41</v>
      </c>
      <c r="H3" t="s">
        <v>67</v>
      </c>
      <c r="I3" t="s">
        <v>41</v>
      </c>
      <c r="J3">
        <v>0</v>
      </c>
    </row>
    <row r="4" spans="1:10">
      <c r="A4">
        <v>3</v>
      </c>
      <c r="B4" t="s">
        <v>17</v>
      </c>
      <c r="C4" t="s">
        <v>18</v>
      </c>
      <c r="D4" t="s">
        <v>19</v>
      </c>
      <c r="E4" t="s">
        <v>42</v>
      </c>
      <c r="F4" t="s">
        <v>41</v>
      </c>
      <c r="G4" t="s">
        <v>41</v>
      </c>
      <c r="H4" t="s">
        <v>43</v>
      </c>
      <c r="I4" t="s">
        <v>44</v>
      </c>
      <c r="J4">
        <v>0</v>
      </c>
    </row>
    <row r="5" spans="1:10">
      <c r="A5">
        <v>4</v>
      </c>
      <c r="B5" t="s">
        <v>17</v>
      </c>
      <c r="C5" t="s">
        <v>18</v>
      </c>
      <c r="D5" t="s">
        <v>19</v>
      </c>
      <c r="E5" t="s">
        <v>45</v>
      </c>
      <c r="F5" t="s">
        <v>41</v>
      </c>
      <c r="G5" t="s">
        <v>41</v>
      </c>
      <c r="H5" t="s">
        <v>46</v>
      </c>
      <c r="I5" t="s">
        <v>44</v>
      </c>
      <c r="J5">
        <v>0</v>
      </c>
    </row>
    <row r="6" spans="1:10">
      <c r="A6">
        <v>5</v>
      </c>
      <c r="B6" t="s">
        <v>20</v>
      </c>
      <c r="C6" t="s">
        <v>21</v>
      </c>
      <c r="D6" t="s">
        <v>19</v>
      </c>
      <c r="E6" t="s">
        <v>45</v>
      </c>
      <c r="F6" t="s">
        <v>41</v>
      </c>
      <c r="G6" t="s">
        <v>41</v>
      </c>
      <c r="H6" t="s">
        <v>67</v>
      </c>
      <c r="I6" t="s">
        <v>47</v>
      </c>
      <c r="J6">
        <v>0</v>
      </c>
    </row>
    <row r="7" spans="1:10">
      <c r="A7">
        <v>6</v>
      </c>
      <c r="B7" t="s">
        <v>17</v>
      </c>
      <c r="C7" t="s">
        <v>18</v>
      </c>
      <c r="D7" t="s">
        <v>19</v>
      </c>
      <c r="E7" t="s">
        <v>48</v>
      </c>
      <c r="F7" t="s">
        <v>41</v>
      </c>
      <c r="G7" t="s">
        <v>41</v>
      </c>
      <c r="H7" t="s">
        <v>67</v>
      </c>
      <c r="I7" t="s">
        <v>41</v>
      </c>
      <c r="J7">
        <v>0</v>
      </c>
    </row>
    <row r="8" spans="1:10">
      <c r="A8">
        <v>7</v>
      </c>
      <c r="B8" t="s">
        <v>22</v>
      </c>
      <c r="C8" t="s">
        <v>23</v>
      </c>
      <c r="D8" t="s">
        <v>24</v>
      </c>
      <c r="E8" t="s">
        <v>45</v>
      </c>
      <c r="F8" t="s">
        <v>41</v>
      </c>
      <c r="G8" t="s">
        <v>49</v>
      </c>
      <c r="H8" t="s">
        <v>43</v>
      </c>
      <c r="I8" t="s">
        <v>41</v>
      </c>
      <c r="J8">
        <v>0</v>
      </c>
    </row>
    <row r="9" spans="1:10">
      <c r="A9">
        <v>8</v>
      </c>
      <c r="B9" t="s">
        <v>17</v>
      </c>
      <c r="C9" t="s">
        <v>23</v>
      </c>
      <c r="D9" t="s">
        <v>19</v>
      </c>
      <c r="E9" t="s">
        <v>45</v>
      </c>
      <c r="F9" t="s">
        <v>50</v>
      </c>
      <c r="G9" t="s">
        <v>49</v>
      </c>
      <c r="H9" t="s">
        <v>51</v>
      </c>
      <c r="I9" t="s">
        <v>52</v>
      </c>
      <c r="J9">
        <v>0</v>
      </c>
    </row>
    <row r="10" spans="1:10">
      <c r="A10">
        <v>9</v>
      </c>
      <c r="B10" t="s">
        <v>17</v>
      </c>
      <c r="C10" t="s">
        <v>21</v>
      </c>
      <c r="D10" t="s">
        <v>19</v>
      </c>
      <c r="E10" t="s">
        <v>40</v>
      </c>
      <c r="F10" t="s">
        <v>41</v>
      </c>
      <c r="G10" t="s">
        <v>41</v>
      </c>
      <c r="H10" t="s">
        <v>67</v>
      </c>
      <c r="I10" t="s">
        <v>44</v>
      </c>
      <c r="J10">
        <v>0</v>
      </c>
    </row>
    <row r="11" spans="1:10">
      <c r="A11">
        <v>10</v>
      </c>
      <c r="B11" t="s">
        <v>17</v>
      </c>
      <c r="C11" t="s">
        <v>18</v>
      </c>
      <c r="D11" t="s">
        <v>19</v>
      </c>
      <c r="E11" t="s">
        <v>40</v>
      </c>
      <c r="F11" t="s">
        <v>41</v>
      </c>
      <c r="G11" t="s">
        <v>41</v>
      </c>
      <c r="H11" t="s">
        <v>51</v>
      </c>
      <c r="I11" t="s">
        <v>41</v>
      </c>
      <c r="J11">
        <v>0</v>
      </c>
    </row>
    <row r="12" spans="1:10">
      <c r="A12">
        <v>11</v>
      </c>
      <c r="B12" t="s">
        <v>17</v>
      </c>
      <c r="C12" t="s">
        <v>18</v>
      </c>
      <c r="D12" t="s">
        <v>19</v>
      </c>
      <c r="E12" t="s">
        <v>40</v>
      </c>
      <c r="F12" t="s">
        <v>41</v>
      </c>
      <c r="G12" t="s">
        <v>41</v>
      </c>
      <c r="H12" t="s">
        <v>67</v>
      </c>
      <c r="I12" t="s">
        <v>41</v>
      </c>
      <c r="J12">
        <v>0</v>
      </c>
    </row>
    <row r="13" spans="1:10">
      <c r="A13">
        <v>12</v>
      </c>
      <c r="B13" t="s">
        <v>17</v>
      </c>
      <c r="C13" t="s">
        <v>18</v>
      </c>
      <c r="D13" t="s">
        <v>19</v>
      </c>
      <c r="E13" t="s">
        <v>45</v>
      </c>
      <c r="F13" t="s">
        <v>50</v>
      </c>
      <c r="G13" t="s">
        <v>41</v>
      </c>
      <c r="H13" t="s">
        <v>46</v>
      </c>
      <c r="I13" t="s">
        <v>53</v>
      </c>
      <c r="J13">
        <v>0</v>
      </c>
    </row>
    <row r="14" spans="1:10">
      <c r="A14">
        <v>13</v>
      </c>
      <c r="B14" t="s">
        <v>17</v>
      </c>
      <c r="C14" t="s">
        <v>25</v>
      </c>
      <c r="D14" t="s">
        <v>19</v>
      </c>
      <c r="E14" t="s">
        <v>48</v>
      </c>
      <c r="F14" t="s">
        <v>41</v>
      </c>
      <c r="G14" t="s">
        <v>41</v>
      </c>
      <c r="H14" t="s">
        <v>43</v>
      </c>
      <c r="I14" t="s">
        <v>54</v>
      </c>
      <c r="J14">
        <v>0</v>
      </c>
    </row>
    <row r="15" spans="1:10">
      <c r="A15">
        <v>14</v>
      </c>
      <c r="B15" t="s">
        <v>17</v>
      </c>
      <c r="C15" t="s">
        <v>25</v>
      </c>
      <c r="D15" t="s">
        <v>19</v>
      </c>
      <c r="E15" t="s">
        <v>42</v>
      </c>
      <c r="F15" t="s">
        <v>41</v>
      </c>
      <c r="G15" t="s">
        <v>41</v>
      </c>
      <c r="H15" t="s">
        <v>41</v>
      </c>
      <c r="I15" t="s">
        <v>41</v>
      </c>
      <c r="J15">
        <v>0</v>
      </c>
    </row>
    <row r="16" spans="1:10">
      <c r="A16">
        <v>15</v>
      </c>
      <c r="B16" t="s">
        <v>17</v>
      </c>
      <c r="C16" t="s">
        <v>18</v>
      </c>
      <c r="D16" t="s">
        <v>19</v>
      </c>
      <c r="E16" t="s">
        <v>42</v>
      </c>
      <c r="F16" t="s">
        <v>55</v>
      </c>
      <c r="G16" t="s">
        <v>41</v>
      </c>
      <c r="H16" t="s">
        <v>43</v>
      </c>
      <c r="I16" t="s">
        <v>67</v>
      </c>
      <c r="J16">
        <v>0</v>
      </c>
    </row>
    <row r="17" spans="1:10">
      <c r="A17">
        <v>16</v>
      </c>
      <c r="B17" t="s">
        <v>17</v>
      </c>
      <c r="C17" t="s">
        <v>25</v>
      </c>
      <c r="D17" t="s">
        <v>19</v>
      </c>
      <c r="E17" t="s">
        <v>42</v>
      </c>
      <c r="F17" t="s">
        <v>41</v>
      </c>
      <c r="G17" t="s">
        <v>41</v>
      </c>
      <c r="H17" t="s">
        <v>67</v>
      </c>
      <c r="I17" t="s">
        <v>41</v>
      </c>
      <c r="J17">
        <v>0</v>
      </c>
    </row>
    <row r="18" spans="1:10">
      <c r="A18">
        <v>17</v>
      </c>
      <c r="B18" t="s">
        <v>17</v>
      </c>
      <c r="C18" t="s">
        <v>21</v>
      </c>
      <c r="D18" t="s">
        <v>26</v>
      </c>
      <c r="E18" t="s">
        <v>48</v>
      </c>
      <c r="F18" t="s">
        <v>41</v>
      </c>
      <c r="G18" t="s">
        <v>41</v>
      </c>
      <c r="H18" t="s">
        <v>67</v>
      </c>
      <c r="I18" t="s">
        <v>41</v>
      </c>
      <c r="J18">
        <v>0</v>
      </c>
    </row>
    <row r="19" spans="1:10">
      <c r="A19">
        <v>18</v>
      </c>
      <c r="B19" t="s">
        <v>17</v>
      </c>
      <c r="C19" t="s">
        <v>18</v>
      </c>
      <c r="D19" t="s">
        <v>19</v>
      </c>
      <c r="E19" t="s">
        <v>42</v>
      </c>
      <c r="F19" t="s">
        <v>41</v>
      </c>
      <c r="G19" t="s">
        <v>56</v>
      </c>
      <c r="H19" t="s">
        <v>43</v>
      </c>
      <c r="I19" t="s">
        <v>41</v>
      </c>
      <c r="J19">
        <v>0</v>
      </c>
    </row>
    <row r="20" spans="1:10">
      <c r="A20">
        <v>19</v>
      </c>
      <c r="B20" t="s">
        <v>17</v>
      </c>
      <c r="C20" t="s">
        <v>18</v>
      </c>
      <c r="D20" t="s">
        <v>19</v>
      </c>
      <c r="E20" t="s">
        <v>40</v>
      </c>
      <c r="F20" t="s">
        <v>41</v>
      </c>
      <c r="G20" t="s">
        <v>41</v>
      </c>
      <c r="H20" t="s">
        <v>67</v>
      </c>
      <c r="I20" t="s">
        <v>41</v>
      </c>
      <c r="J20">
        <v>0</v>
      </c>
    </row>
    <row r="21" spans="1:10">
      <c r="A21">
        <v>20</v>
      </c>
      <c r="B21" t="s">
        <v>17</v>
      </c>
      <c r="C21" t="s">
        <v>18</v>
      </c>
      <c r="D21" t="s">
        <v>19</v>
      </c>
      <c r="E21" t="s">
        <v>40</v>
      </c>
      <c r="F21" t="s">
        <v>41</v>
      </c>
      <c r="G21" t="s">
        <v>41</v>
      </c>
      <c r="H21" t="s">
        <v>67</v>
      </c>
      <c r="I21" t="s">
        <v>41</v>
      </c>
      <c r="J21">
        <v>0</v>
      </c>
    </row>
    <row r="22" spans="1:10">
      <c r="A22">
        <v>21</v>
      </c>
      <c r="B22" t="s">
        <v>17</v>
      </c>
      <c r="C22" t="s">
        <v>18</v>
      </c>
      <c r="D22" t="s">
        <v>19</v>
      </c>
      <c r="E22" t="s">
        <v>40</v>
      </c>
      <c r="F22" t="s">
        <v>41</v>
      </c>
      <c r="G22" t="s">
        <v>41</v>
      </c>
      <c r="H22" t="s">
        <v>67</v>
      </c>
      <c r="I22" t="s">
        <v>41</v>
      </c>
      <c r="J22">
        <v>0</v>
      </c>
    </row>
    <row r="23" spans="1:10">
      <c r="A23">
        <v>22</v>
      </c>
      <c r="B23" t="s">
        <v>17</v>
      </c>
      <c r="C23" t="s">
        <v>18</v>
      </c>
      <c r="D23" t="s">
        <v>27</v>
      </c>
      <c r="E23" t="s">
        <v>45</v>
      </c>
      <c r="F23" t="s">
        <v>41</v>
      </c>
      <c r="G23" t="s">
        <v>41</v>
      </c>
      <c r="H23" t="s">
        <v>57</v>
      </c>
      <c r="I23" t="s">
        <v>41</v>
      </c>
      <c r="J23">
        <v>0</v>
      </c>
    </row>
    <row r="24" spans="1:10">
      <c r="A24">
        <v>23</v>
      </c>
      <c r="B24" t="s">
        <v>17</v>
      </c>
      <c r="C24" t="s">
        <v>18</v>
      </c>
      <c r="D24" t="s">
        <v>19</v>
      </c>
      <c r="E24" t="s">
        <v>45</v>
      </c>
      <c r="F24" t="s">
        <v>41</v>
      </c>
      <c r="G24" t="s">
        <v>41</v>
      </c>
      <c r="H24" t="s">
        <v>43</v>
      </c>
      <c r="I24" t="s">
        <v>52</v>
      </c>
      <c r="J24">
        <v>0</v>
      </c>
    </row>
    <row r="25" spans="1:10">
      <c r="A25">
        <v>24</v>
      </c>
      <c r="B25" t="s">
        <v>17</v>
      </c>
      <c r="C25" t="s">
        <v>18</v>
      </c>
      <c r="D25" t="s">
        <v>19</v>
      </c>
      <c r="E25" t="s">
        <v>58</v>
      </c>
      <c r="F25" t="s">
        <v>41</v>
      </c>
      <c r="G25" t="s">
        <v>41</v>
      </c>
      <c r="H25" t="s">
        <v>51</v>
      </c>
      <c r="I25" t="s">
        <v>54</v>
      </c>
      <c r="J25">
        <v>0</v>
      </c>
    </row>
    <row r="26" spans="1:10">
      <c r="A26">
        <v>25</v>
      </c>
      <c r="B26" t="s">
        <v>17</v>
      </c>
      <c r="C26" t="s">
        <v>18</v>
      </c>
      <c r="D26" t="s">
        <v>29</v>
      </c>
      <c r="E26" t="s">
        <v>48</v>
      </c>
      <c r="F26" t="s">
        <v>41</v>
      </c>
      <c r="G26" t="s">
        <v>41</v>
      </c>
      <c r="H26" t="s">
        <v>67</v>
      </c>
      <c r="I26" t="s">
        <v>53</v>
      </c>
      <c r="J26">
        <v>0</v>
      </c>
    </row>
    <row r="27" spans="1:10">
      <c r="A27">
        <v>26</v>
      </c>
      <c r="B27" t="s">
        <v>17</v>
      </c>
      <c r="C27" t="s">
        <v>18</v>
      </c>
      <c r="D27" t="s">
        <v>19</v>
      </c>
      <c r="E27" t="s">
        <v>40</v>
      </c>
      <c r="F27" t="s">
        <v>41</v>
      </c>
      <c r="G27" t="s">
        <v>49</v>
      </c>
      <c r="H27" t="s">
        <v>57</v>
      </c>
      <c r="I27" t="s">
        <v>59</v>
      </c>
      <c r="J27">
        <v>0</v>
      </c>
    </row>
    <row r="28" spans="1:10">
      <c r="A28">
        <v>27</v>
      </c>
      <c r="B28" t="s">
        <v>17</v>
      </c>
      <c r="C28" t="s">
        <v>18</v>
      </c>
      <c r="D28" t="s">
        <v>19</v>
      </c>
      <c r="E28" t="s">
        <v>45</v>
      </c>
      <c r="F28" t="s">
        <v>41</v>
      </c>
      <c r="G28" t="s">
        <v>41</v>
      </c>
      <c r="H28" t="s">
        <v>67</v>
      </c>
      <c r="I28" t="s">
        <v>41</v>
      </c>
      <c r="J28">
        <v>0</v>
      </c>
    </row>
    <row r="29" spans="1:10">
      <c r="A29">
        <v>28</v>
      </c>
      <c r="B29" t="s">
        <v>17</v>
      </c>
      <c r="C29" t="s">
        <v>18</v>
      </c>
      <c r="D29" t="s">
        <v>24</v>
      </c>
      <c r="E29" t="s">
        <v>48</v>
      </c>
      <c r="F29" t="s">
        <v>67</v>
      </c>
      <c r="G29" t="s">
        <v>41</v>
      </c>
      <c r="H29" t="s">
        <v>57</v>
      </c>
      <c r="I29" t="s">
        <v>41</v>
      </c>
      <c r="J29">
        <v>0</v>
      </c>
    </row>
    <row r="30" spans="1:10">
      <c r="A30">
        <v>29</v>
      </c>
      <c r="B30" t="s">
        <v>17</v>
      </c>
      <c r="C30" t="s">
        <v>18</v>
      </c>
      <c r="D30" t="s">
        <v>19</v>
      </c>
      <c r="E30" t="s">
        <v>45</v>
      </c>
      <c r="F30" t="s">
        <v>41</v>
      </c>
      <c r="G30" t="s">
        <v>41</v>
      </c>
      <c r="H30" t="s">
        <v>46</v>
      </c>
      <c r="I30" t="s">
        <v>47</v>
      </c>
      <c r="J30">
        <v>0</v>
      </c>
    </row>
    <row r="31" spans="1:10">
      <c r="A31">
        <v>30</v>
      </c>
      <c r="B31" t="s">
        <v>17</v>
      </c>
      <c r="C31" t="s">
        <v>25</v>
      </c>
      <c r="D31" t="s">
        <v>19</v>
      </c>
      <c r="E31" t="s">
        <v>58</v>
      </c>
      <c r="F31" t="s">
        <v>67</v>
      </c>
      <c r="G31" t="s">
        <v>67</v>
      </c>
      <c r="H31" t="s">
        <v>51</v>
      </c>
      <c r="I31" t="s">
        <v>41</v>
      </c>
      <c r="J31">
        <v>0</v>
      </c>
    </row>
    <row r="32" spans="1:10">
      <c r="A32">
        <v>31</v>
      </c>
      <c r="B32" t="s">
        <v>17</v>
      </c>
      <c r="C32" t="s">
        <v>25</v>
      </c>
      <c r="D32" t="s">
        <v>26</v>
      </c>
      <c r="E32" t="s">
        <v>45</v>
      </c>
      <c r="F32" t="s">
        <v>60</v>
      </c>
      <c r="G32" t="s">
        <v>41</v>
      </c>
      <c r="H32" t="s">
        <v>57</v>
      </c>
      <c r="I32" t="s">
        <v>53</v>
      </c>
      <c r="J32">
        <v>0</v>
      </c>
    </row>
    <row r="33" spans="1:10">
      <c r="A33">
        <v>32</v>
      </c>
      <c r="B33" t="s">
        <v>17</v>
      </c>
      <c r="C33" t="s">
        <v>18</v>
      </c>
      <c r="D33" t="s">
        <v>27</v>
      </c>
      <c r="E33" t="s">
        <v>45</v>
      </c>
      <c r="F33" t="s">
        <v>41</v>
      </c>
      <c r="G33" t="s">
        <v>41</v>
      </c>
      <c r="H33" t="s">
        <v>57</v>
      </c>
      <c r="I33" t="s">
        <v>41</v>
      </c>
      <c r="J33">
        <v>0</v>
      </c>
    </row>
    <row r="34" spans="1:10">
      <c r="A34">
        <v>33</v>
      </c>
      <c r="B34" t="s">
        <v>17</v>
      </c>
      <c r="C34" t="s">
        <v>21</v>
      </c>
      <c r="D34" t="s">
        <v>19</v>
      </c>
      <c r="E34" t="s">
        <v>58</v>
      </c>
      <c r="F34" t="s">
        <v>55</v>
      </c>
      <c r="G34" t="s">
        <v>41</v>
      </c>
      <c r="H34" t="s">
        <v>41</v>
      </c>
      <c r="I34" t="s">
        <v>52</v>
      </c>
      <c r="J34">
        <v>0</v>
      </c>
    </row>
    <row r="35" spans="1:10">
      <c r="A35">
        <v>34</v>
      </c>
      <c r="B35" t="s">
        <v>17</v>
      </c>
      <c r="C35" t="s">
        <v>18</v>
      </c>
      <c r="D35" t="s">
        <v>30</v>
      </c>
      <c r="E35" t="s">
        <v>48</v>
      </c>
      <c r="F35" t="s">
        <v>61</v>
      </c>
      <c r="G35" t="s">
        <v>41</v>
      </c>
      <c r="H35" t="s">
        <v>57</v>
      </c>
      <c r="I35" t="s">
        <v>62</v>
      </c>
      <c r="J35">
        <v>0</v>
      </c>
    </row>
    <row r="36" spans="1:10">
      <c r="A36">
        <v>35</v>
      </c>
      <c r="B36" t="s">
        <v>22</v>
      </c>
      <c r="C36" t="s">
        <v>23</v>
      </c>
      <c r="D36" t="s">
        <v>24</v>
      </c>
      <c r="E36" t="s">
        <v>48</v>
      </c>
      <c r="F36" t="s">
        <v>41</v>
      </c>
      <c r="G36" t="s">
        <v>41</v>
      </c>
      <c r="H36" t="s">
        <v>67</v>
      </c>
      <c r="I36" t="s">
        <v>41</v>
      </c>
      <c r="J36">
        <v>0</v>
      </c>
    </row>
    <row r="37" spans="1:10">
      <c r="A37">
        <v>36</v>
      </c>
      <c r="B37" t="s">
        <v>31</v>
      </c>
      <c r="C37" t="s">
        <v>23</v>
      </c>
      <c r="D37" t="s">
        <v>24</v>
      </c>
      <c r="E37" t="s">
        <v>40</v>
      </c>
      <c r="F37" t="s">
        <v>60</v>
      </c>
      <c r="G37" t="s">
        <v>41</v>
      </c>
      <c r="H37" t="s">
        <v>46</v>
      </c>
      <c r="I37" t="s">
        <v>67</v>
      </c>
      <c r="J37">
        <v>1</v>
      </c>
    </row>
    <row r="38" spans="1:10">
      <c r="A38">
        <v>37</v>
      </c>
      <c r="B38" t="s">
        <v>17</v>
      </c>
      <c r="C38" t="s">
        <v>18</v>
      </c>
      <c r="D38" t="s">
        <v>19</v>
      </c>
      <c r="E38" t="s">
        <v>42</v>
      </c>
      <c r="F38" t="s">
        <v>41</v>
      </c>
      <c r="G38" t="s">
        <v>41</v>
      </c>
      <c r="H38" t="s">
        <v>41</v>
      </c>
      <c r="I38" t="s">
        <v>47</v>
      </c>
      <c r="J38">
        <v>0</v>
      </c>
    </row>
    <row r="39" spans="1:10">
      <c r="A39">
        <v>38</v>
      </c>
      <c r="B39" t="s">
        <v>17</v>
      </c>
      <c r="C39" t="s">
        <v>18</v>
      </c>
      <c r="D39" t="s">
        <v>19</v>
      </c>
      <c r="E39" t="s">
        <v>42</v>
      </c>
      <c r="F39" t="s">
        <v>41</v>
      </c>
      <c r="G39" t="s">
        <v>41</v>
      </c>
      <c r="H39" t="s">
        <v>41</v>
      </c>
      <c r="I39" t="s">
        <v>52</v>
      </c>
      <c r="J39">
        <v>0</v>
      </c>
    </row>
    <row r="40" spans="1:10">
      <c r="A40">
        <v>39</v>
      </c>
      <c r="B40" t="s">
        <v>17</v>
      </c>
      <c r="C40" t="s">
        <v>18</v>
      </c>
      <c r="D40" t="s">
        <v>19</v>
      </c>
      <c r="E40" t="s">
        <v>48</v>
      </c>
      <c r="F40" t="s">
        <v>61</v>
      </c>
      <c r="G40" t="s">
        <v>41</v>
      </c>
      <c r="H40" t="s">
        <v>57</v>
      </c>
      <c r="I40" t="s">
        <v>62</v>
      </c>
      <c r="J40">
        <v>0</v>
      </c>
    </row>
    <row r="41" spans="1:10">
      <c r="A41">
        <v>40</v>
      </c>
      <c r="B41" t="s">
        <v>17</v>
      </c>
      <c r="C41" t="s">
        <v>18</v>
      </c>
      <c r="D41" t="s">
        <v>27</v>
      </c>
      <c r="E41" t="s">
        <v>45</v>
      </c>
      <c r="F41" t="s">
        <v>41</v>
      </c>
      <c r="G41" t="s">
        <v>41</v>
      </c>
      <c r="H41" t="s">
        <v>63</v>
      </c>
      <c r="I41" t="s">
        <v>41</v>
      </c>
      <c r="J41">
        <v>0</v>
      </c>
    </row>
    <row r="42" spans="1:10">
      <c r="A42">
        <v>41</v>
      </c>
      <c r="B42" t="s">
        <v>31</v>
      </c>
      <c r="C42" t="s">
        <v>23</v>
      </c>
      <c r="D42" t="s">
        <v>24</v>
      </c>
      <c r="E42" t="s">
        <v>40</v>
      </c>
      <c r="F42" t="s">
        <v>60</v>
      </c>
      <c r="G42" t="s">
        <v>41</v>
      </c>
      <c r="H42" t="s">
        <v>67</v>
      </c>
      <c r="I42" t="s">
        <v>67</v>
      </c>
      <c r="J42">
        <v>1</v>
      </c>
    </row>
    <row r="43" spans="1:10">
      <c r="A43">
        <v>42</v>
      </c>
      <c r="B43" t="s">
        <v>17</v>
      </c>
      <c r="C43" t="s">
        <v>18</v>
      </c>
      <c r="D43" t="s">
        <v>19</v>
      </c>
      <c r="E43" t="s">
        <v>48</v>
      </c>
      <c r="F43" t="s">
        <v>41</v>
      </c>
      <c r="G43" t="s">
        <v>41</v>
      </c>
      <c r="H43" t="s">
        <v>43</v>
      </c>
      <c r="I43" t="s">
        <v>59</v>
      </c>
      <c r="J43">
        <v>0</v>
      </c>
    </row>
    <row r="44" spans="1:10">
      <c r="A44">
        <v>43</v>
      </c>
      <c r="B44" t="s">
        <v>20</v>
      </c>
      <c r="C44" t="s">
        <v>21</v>
      </c>
      <c r="D44" t="s">
        <v>19</v>
      </c>
      <c r="E44" t="s">
        <v>45</v>
      </c>
      <c r="F44" t="s">
        <v>60</v>
      </c>
      <c r="G44" t="s">
        <v>41</v>
      </c>
      <c r="H44" t="s">
        <v>67</v>
      </c>
      <c r="I44" t="s">
        <v>53</v>
      </c>
      <c r="J44">
        <v>0</v>
      </c>
    </row>
    <row r="45" spans="1:10">
      <c r="A45">
        <v>44</v>
      </c>
      <c r="B45" t="s">
        <v>17</v>
      </c>
      <c r="C45" t="s">
        <v>18</v>
      </c>
      <c r="D45" t="s">
        <v>19</v>
      </c>
      <c r="E45" t="s">
        <v>48</v>
      </c>
      <c r="F45" t="s">
        <v>55</v>
      </c>
      <c r="G45" t="s">
        <v>41</v>
      </c>
      <c r="H45" t="s">
        <v>43</v>
      </c>
      <c r="I45" t="s">
        <v>52</v>
      </c>
      <c r="J45">
        <v>0</v>
      </c>
    </row>
    <row r="46" spans="1:10">
      <c r="A46">
        <v>45</v>
      </c>
      <c r="B46" t="s">
        <v>17</v>
      </c>
      <c r="C46" t="s">
        <v>21</v>
      </c>
      <c r="D46" t="s">
        <v>19</v>
      </c>
      <c r="E46" t="s">
        <v>40</v>
      </c>
      <c r="F46" t="s">
        <v>41</v>
      </c>
      <c r="G46" t="s">
        <v>41</v>
      </c>
      <c r="H46" t="s">
        <v>67</v>
      </c>
      <c r="I46" t="s">
        <v>47</v>
      </c>
      <c r="J46">
        <v>0</v>
      </c>
    </row>
    <row r="47" spans="1:10">
      <c r="A47">
        <v>46</v>
      </c>
      <c r="B47" t="s">
        <v>17</v>
      </c>
      <c r="C47" t="s">
        <v>21</v>
      </c>
      <c r="D47" t="s">
        <v>19</v>
      </c>
      <c r="E47" t="s">
        <v>58</v>
      </c>
      <c r="F47" t="s">
        <v>55</v>
      </c>
      <c r="G47" t="s">
        <v>41</v>
      </c>
      <c r="H47" t="s">
        <v>41</v>
      </c>
      <c r="I47" t="s">
        <v>52</v>
      </c>
      <c r="J47">
        <v>0</v>
      </c>
    </row>
    <row r="48" spans="1:10">
      <c r="A48">
        <v>47</v>
      </c>
      <c r="B48" t="s">
        <v>17</v>
      </c>
      <c r="C48" t="s">
        <v>23</v>
      </c>
      <c r="D48" t="s">
        <v>32</v>
      </c>
      <c r="E48" t="s">
        <v>45</v>
      </c>
      <c r="F48" t="s">
        <v>41</v>
      </c>
      <c r="G48" t="s">
        <v>64</v>
      </c>
      <c r="H48" t="s">
        <v>51</v>
      </c>
      <c r="I48" t="s">
        <v>44</v>
      </c>
      <c r="J48">
        <v>0</v>
      </c>
    </row>
    <row r="49" spans="1:10">
      <c r="A49">
        <v>48</v>
      </c>
      <c r="B49" t="s">
        <v>22</v>
      </c>
      <c r="C49" t="s">
        <v>23</v>
      </c>
      <c r="D49" t="s">
        <v>24</v>
      </c>
      <c r="E49" t="s">
        <v>48</v>
      </c>
      <c r="F49" t="s">
        <v>41</v>
      </c>
      <c r="G49" t="s">
        <v>41</v>
      </c>
      <c r="H49" t="s">
        <v>67</v>
      </c>
      <c r="I49" t="s">
        <v>41</v>
      </c>
      <c r="J49">
        <v>0</v>
      </c>
    </row>
    <row r="50" spans="1:10">
      <c r="A50">
        <v>49</v>
      </c>
      <c r="B50" t="s">
        <v>17</v>
      </c>
      <c r="C50" t="s">
        <v>18</v>
      </c>
      <c r="D50" t="s">
        <v>19</v>
      </c>
      <c r="E50" t="s">
        <v>40</v>
      </c>
      <c r="F50" t="s">
        <v>41</v>
      </c>
      <c r="G50" t="s">
        <v>41</v>
      </c>
      <c r="H50" t="s">
        <v>67</v>
      </c>
      <c r="I50" t="s">
        <v>41</v>
      </c>
      <c r="J50">
        <v>0</v>
      </c>
    </row>
    <row r="51" spans="1:10">
      <c r="A51">
        <v>50</v>
      </c>
      <c r="B51" t="s">
        <v>17</v>
      </c>
      <c r="C51" t="s">
        <v>18</v>
      </c>
      <c r="D51" t="s">
        <v>27</v>
      </c>
      <c r="E51" t="s">
        <v>45</v>
      </c>
      <c r="F51" t="s">
        <v>50</v>
      </c>
      <c r="G51" t="s">
        <v>56</v>
      </c>
      <c r="H51" t="s">
        <v>43</v>
      </c>
      <c r="I51" t="s">
        <v>52</v>
      </c>
      <c r="J51">
        <v>0</v>
      </c>
    </row>
    <row r="52" spans="1:10">
      <c r="A52">
        <v>51</v>
      </c>
      <c r="B52" t="s">
        <v>17</v>
      </c>
      <c r="C52" t="s">
        <v>18</v>
      </c>
      <c r="D52" t="s">
        <v>19</v>
      </c>
      <c r="E52" t="s">
        <v>58</v>
      </c>
      <c r="F52" t="s">
        <v>55</v>
      </c>
      <c r="G52" t="s">
        <v>41</v>
      </c>
      <c r="H52" t="s">
        <v>46</v>
      </c>
      <c r="I52" t="s">
        <v>52</v>
      </c>
      <c r="J52">
        <v>0</v>
      </c>
    </row>
    <row r="53" spans="1:10">
      <c r="A53">
        <v>52</v>
      </c>
      <c r="B53" t="s">
        <v>17</v>
      </c>
      <c r="C53" t="s">
        <v>18</v>
      </c>
      <c r="D53" t="s">
        <v>19</v>
      </c>
      <c r="E53" t="s">
        <v>40</v>
      </c>
      <c r="F53" t="s">
        <v>41</v>
      </c>
      <c r="G53" t="s">
        <v>41</v>
      </c>
      <c r="H53" t="s">
        <v>67</v>
      </c>
      <c r="I53" t="s">
        <v>41</v>
      </c>
      <c r="J53">
        <v>0</v>
      </c>
    </row>
    <row r="54" spans="1:10">
      <c r="A54">
        <v>53</v>
      </c>
      <c r="B54" t="s">
        <v>22</v>
      </c>
      <c r="C54" t="s">
        <v>21</v>
      </c>
      <c r="D54" t="s">
        <v>26</v>
      </c>
      <c r="E54" t="s">
        <v>40</v>
      </c>
      <c r="F54" t="s">
        <v>41</v>
      </c>
      <c r="G54" t="s">
        <v>41</v>
      </c>
      <c r="H54" t="s">
        <v>43</v>
      </c>
      <c r="I54" t="s">
        <v>59</v>
      </c>
      <c r="J54">
        <v>0</v>
      </c>
    </row>
    <row r="55" spans="1:10">
      <c r="A55">
        <v>54</v>
      </c>
      <c r="B55" t="s">
        <v>17</v>
      </c>
      <c r="C55" t="s">
        <v>18</v>
      </c>
      <c r="D55" t="s">
        <v>19</v>
      </c>
      <c r="E55" t="s">
        <v>45</v>
      </c>
      <c r="F55" t="s">
        <v>60</v>
      </c>
      <c r="G55" t="s">
        <v>65</v>
      </c>
      <c r="H55" t="s">
        <v>67</v>
      </c>
      <c r="I55" t="s">
        <v>59</v>
      </c>
      <c r="J55">
        <v>0</v>
      </c>
    </row>
    <row r="56" spans="1:10">
      <c r="A56">
        <v>55</v>
      </c>
      <c r="B56" t="s">
        <v>17</v>
      </c>
      <c r="C56" t="s">
        <v>18</v>
      </c>
      <c r="D56" t="s">
        <v>19</v>
      </c>
      <c r="E56" t="s">
        <v>40</v>
      </c>
      <c r="F56" t="s">
        <v>61</v>
      </c>
      <c r="G56" t="s">
        <v>56</v>
      </c>
      <c r="H56" t="s">
        <v>67</v>
      </c>
      <c r="I56" t="s">
        <v>47</v>
      </c>
      <c r="J56">
        <v>0</v>
      </c>
    </row>
    <row r="57" spans="1:10">
      <c r="A57">
        <v>56</v>
      </c>
      <c r="B57" t="s">
        <v>17</v>
      </c>
      <c r="C57" t="s">
        <v>18</v>
      </c>
      <c r="D57" t="s">
        <v>19</v>
      </c>
      <c r="E57" t="s">
        <v>45</v>
      </c>
      <c r="F57" t="s">
        <v>41</v>
      </c>
      <c r="G57" t="s">
        <v>41</v>
      </c>
      <c r="H57" t="s">
        <v>43</v>
      </c>
      <c r="I57" t="s">
        <v>44</v>
      </c>
      <c r="J57">
        <v>0</v>
      </c>
    </row>
    <row r="58" spans="1:10">
      <c r="A58">
        <v>57</v>
      </c>
      <c r="B58" t="s">
        <v>17</v>
      </c>
      <c r="C58" t="s">
        <v>18</v>
      </c>
      <c r="D58" t="s">
        <v>19</v>
      </c>
      <c r="E58" t="s">
        <v>48</v>
      </c>
      <c r="F58" t="s">
        <v>41</v>
      </c>
      <c r="G58" t="s">
        <v>41</v>
      </c>
      <c r="H58" t="s">
        <v>57</v>
      </c>
      <c r="I58" t="s">
        <v>54</v>
      </c>
      <c r="J58">
        <v>0</v>
      </c>
    </row>
    <row r="59" spans="1:10">
      <c r="A59">
        <v>58</v>
      </c>
      <c r="B59" t="s">
        <v>17</v>
      </c>
      <c r="C59" t="s">
        <v>18</v>
      </c>
      <c r="D59" t="s">
        <v>26</v>
      </c>
      <c r="E59" t="s">
        <v>45</v>
      </c>
      <c r="F59" t="s">
        <v>55</v>
      </c>
      <c r="G59" t="s">
        <v>64</v>
      </c>
      <c r="H59" t="s">
        <v>43</v>
      </c>
      <c r="I59" t="s">
        <v>47</v>
      </c>
      <c r="J59">
        <v>0</v>
      </c>
    </row>
    <row r="60" spans="1:10">
      <c r="A60">
        <v>59</v>
      </c>
      <c r="B60" t="s">
        <v>17</v>
      </c>
      <c r="C60" t="s">
        <v>18</v>
      </c>
      <c r="D60" t="s">
        <v>19</v>
      </c>
      <c r="E60" t="s">
        <v>45</v>
      </c>
      <c r="F60" t="s">
        <v>41</v>
      </c>
      <c r="G60" t="s">
        <v>41</v>
      </c>
      <c r="H60" t="s">
        <v>46</v>
      </c>
      <c r="I60" t="s">
        <v>44</v>
      </c>
      <c r="J60">
        <v>0</v>
      </c>
    </row>
    <row r="61" spans="1:10">
      <c r="A61">
        <v>60</v>
      </c>
      <c r="B61" t="s">
        <v>17</v>
      </c>
      <c r="C61" t="s">
        <v>18</v>
      </c>
      <c r="D61" t="s">
        <v>19</v>
      </c>
      <c r="E61" t="s">
        <v>42</v>
      </c>
      <c r="F61" t="s">
        <v>61</v>
      </c>
      <c r="G61" t="s">
        <v>56</v>
      </c>
      <c r="H61" t="s">
        <v>43</v>
      </c>
      <c r="I61" t="s">
        <v>52</v>
      </c>
      <c r="J61">
        <v>0</v>
      </c>
    </row>
    <row r="62" spans="1:10">
      <c r="A62">
        <v>61</v>
      </c>
      <c r="B62" t="s">
        <v>17</v>
      </c>
      <c r="C62" t="s">
        <v>18</v>
      </c>
      <c r="D62" t="s">
        <v>19</v>
      </c>
      <c r="E62" t="s">
        <v>48</v>
      </c>
      <c r="F62" t="s">
        <v>55</v>
      </c>
      <c r="G62" t="s">
        <v>65</v>
      </c>
      <c r="H62" t="s">
        <v>63</v>
      </c>
      <c r="I62" t="s">
        <v>53</v>
      </c>
      <c r="J62">
        <v>0</v>
      </c>
    </row>
    <row r="63" spans="1:10">
      <c r="A63">
        <v>62</v>
      </c>
      <c r="B63" t="s">
        <v>17</v>
      </c>
      <c r="C63" t="s">
        <v>18</v>
      </c>
      <c r="D63" t="s">
        <v>19</v>
      </c>
      <c r="E63" t="s">
        <v>45</v>
      </c>
      <c r="F63" t="s">
        <v>50</v>
      </c>
      <c r="G63" t="s">
        <v>41</v>
      </c>
      <c r="H63" t="s">
        <v>66</v>
      </c>
      <c r="I63" t="s">
        <v>59</v>
      </c>
      <c r="J63">
        <v>0</v>
      </c>
    </row>
    <row r="64" spans="1:10">
      <c r="A64">
        <v>63</v>
      </c>
      <c r="B64" t="s">
        <v>17</v>
      </c>
      <c r="C64" t="s">
        <v>18</v>
      </c>
      <c r="D64" t="s">
        <v>19</v>
      </c>
      <c r="E64" t="s">
        <v>40</v>
      </c>
      <c r="F64" t="s">
        <v>41</v>
      </c>
      <c r="G64" t="s">
        <v>56</v>
      </c>
      <c r="H64" t="s">
        <v>67</v>
      </c>
      <c r="I64" t="s">
        <v>44</v>
      </c>
      <c r="J64">
        <v>0</v>
      </c>
    </row>
    <row r="65" spans="1:10">
      <c r="A65">
        <v>64</v>
      </c>
      <c r="B65" t="s">
        <v>17</v>
      </c>
      <c r="C65" t="s">
        <v>18</v>
      </c>
      <c r="D65" t="s">
        <v>19</v>
      </c>
      <c r="E65" t="s">
        <v>45</v>
      </c>
      <c r="F65" t="s">
        <v>61</v>
      </c>
      <c r="G65" t="s">
        <v>65</v>
      </c>
      <c r="H65" t="s">
        <v>46</v>
      </c>
      <c r="I65" t="s">
        <v>59</v>
      </c>
      <c r="J65">
        <v>0</v>
      </c>
    </row>
    <row r="66" spans="1:10">
      <c r="A66">
        <v>65</v>
      </c>
      <c r="B66" t="s">
        <v>17</v>
      </c>
      <c r="C66" t="s">
        <v>18</v>
      </c>
      <c r="D66" t="s">
        <v>19</v>
      </c>
      <c r="E66" t="s">
        <v>45</v>
      </c>
      <c r="F66" t="s">
        <v>61</v>
      </c>
      <c r="G66" t="s">
        <v>65</v>
      </c>
      <c r="H66" t="s">
        <v>43</v>
      </c>
      <c r="I66" t="s">
        <v>62</v>
      </c>
      <c r="J66">
        <v>0</v>
      </c>
    </row>
    <row r="67" spans="1:10">
      <c r="A67">
        <v>66</v>
      </c>
      <c r="B67" t="s">
        <v>17</v>
      </c>
      <c r="C67" t="s">
        <v>18</v>
      </c>
      <c r="D67" t="s">
        <v>19</v>
      </c>
      <c r="E67" t="s">
        <v>42</v>
      </c>
      <c r="F67" t="s">
        <v>41</v>
      </c>
      <c r="G67" t="s">
        <v>41</v>
      </c>
      <c r="H67" t="s">
        <v>51</v>
      </c>
      <c r="I67" t="s">
        <v>41</v>
      </c>
      <c r="J67">
        <v>0</v>
      </c>
    </row>
    <row r="68" spans="1:10">
      <c r="A68">
        <v>67</v>
      </c>
      <c r="B68" t="s">
        <v>17</v>
      </c>
      <c r="C68" t="s">
        <v>18</v>
      </c>
      <c r="D68" t="s">
        <v>19</v>
      </c>
      <c r="E68" t="s">
        <v>42</v>
      </c>
      <c r="F68" t="s">
        <v>55</v>
      </c>
      <c r="G68" t="s">
        <v>41</v>
      </c>
      <c r="H68" t="s">
        <v>51</v>
      </c>
      <c r="I68" t="s">
        <v>53</v>
      </c>
      <c r="J68">
        <v>0</v>
      </c>
    </row>
    <row r="69" spans="1:10">
      <c r="A69">
        <v>68</v>
      </c>
      <c r="B69" t="s">
        <v>17</v>
      </c>
      <c r="C69" t="s">
        <v>18</v>
      </c>
      <c r="D69" t="s">
        <v>19</v>
      </c>
      <c r="E69" t="s">
        <v>40</v>
      </c>
      <c r="F69" t="s">
        <v>41</v>
      </c>
      <c r="G69" t="s">
        <v>65</v>
      </c>
      <c r="H69" t="s">
        <v>67</v>
      </c>
      <c r="I69" t="s">
        <v>41</v>
      </c>
      <c r="J69">
        <v>0</v>
      </c>
    </row>
    <row r="70" spans="1:10">
      <c r="A70">
        <v>69</v>
      </c>
      <c r="B70" t="s">
        <v>17</v>
      </c>
      <c r="C70" t="s">
        <v>25</v>
      </c>
      <c r="D70" t="s">
        <v>33</v>
      </c>
      <c r="E70" t="s">
        <v>40</v>
      </c>
      <c r="F70" t="s">
        <v>41</v>
      </c>
      <c r="G70" t="s">
        <v>41</v>
      </c>
      <c r="H70" t="s">
        <v>67</v>
      </c>
      <c r="I70" t="s">
        <v>41</v>
      </c>
      <c r="J70">
        <v>0</v>
      </c>
    </row>
    <row r="71" spans="1:10">
      <c r="A71">
        <v>70</v>
      </c>
      <c r="B71" t="s">
        <v>17</v>
      </c>
      <c r="C71" t="s">
        <v>18</v>
      </c>
      <c r="D71" t="s">
        <v>19</v>
      </c>
      <c r="E71" t="s">
        <v>40</v>
      </c>
      <c r="F71" t="s">
        <v>41</v>
      </c>
      <c r="G71" t="s">
        <v>41</v>
      </c>
      <c r="H71" t="s">
        <v>67</v>
      </c>
      <c r="I71" t="s">
        <v>44</v>
      </c>
      <c r="J71">
        <v>0</v>
      </c>
    </row>
    <row r="72" spans="1:10">
      <c r="A72">
        <v>71</v>
      </c>
      <c r="B72" t="s">
        <v>17</v>
      </c>
      <c r="C72" t="s">
        <v>18</v>
      </c>
      <c r="D72" t="s">
        <v>19</v>
      </c>
      <c r="E72" t="s">
        <v>48</v>
      </c>
      <c r="F72" t="s">
        <v>41</v>
      </c>
      <c r="G72" t="s">
        <v>41</v>
      </c>
      <c r="H72" t="s">
        <v>67</v>
      </c>
      <c r="I72" t="s">
        <v>54</v>
      </c>
      <c r="J72">
        <v>0</v>
      </c>
    </row>
    <row r="73" spans="1:10">
      <c r="A73">
        <v>72</v>
      </c>
      <c r="B73" t="s">
        <v>17</v>
      </c>
      <c r="C73" t="s">
        <v>18</v>
      </c>
      <c r="D73" t="s">
        <v>19</v>
      </c>
      <c r="E73" t="s">
        <v>45</v>
      </c>
      <c r="F73" t="s">
        <v>50</v>
      </c>
      <c r="G73" t="s">
        <v>56</v>
      </c>
      <c r="H73" t="s">
        <v>46</v>
      </c>
      <c r="I73" t="s">
        <v>62</v>
      </c>
      <c r="J73">
        <v>0</v>
      </c>
    </row>
    <row r="74" spans="1:10">
      <c r="A74">
        <v>73</v>
      </c>
      <c r="B74" t="s">
        <v>17</v>
      </c>
      <c r="C74" t="s">
        <v>18</v>
      </c>
      <c r="D74" t="s">
        <v>19</v>
      </c>
      <c r="E74" t="s">
        <v>48</v>
      </c>
      <c r="F74" t="s">
        <v>60</v>
      </c>
      <c r="G74" t="s">
        <v>64</v>
      </c>
      <c r="H74" t="s">
        <v>67</v>
      </c>
      <c r="I74" t="s">
        <v>59</v>
      </c>
      <c r="J74">
        <v>0</v>
      </c>
    </row>
    <row r="75" spans="1:10">
      <c r="A75">
        <v>74</v>
      </c>
      <c r="B75" t="s">
        <v>17</v>
      </c>
      <c r="C75" t="s">
        <v>18</v>
      </c>
      <c r="D75" t="s">
        <v>19</v>
      </c>
      <c r="E75" t="s">
        <v>40</v>
      </c>
      <c r="F75" t="s">
        <v>41</v>
      </c>
      <c r="G75" t="s">
        <v>49</v>
      </c>
      <c r="H75" t="s">
        <v>67</v>
      </c>
      <c r="I75" t="s">
        <v>67</v>
      </c>
      <c r="J75">
        <v>0</v>
      </c>
    </row>
    <row r="76" spans="1:10">
      <c r="A76">
        <v>75</v>
      </c>
      <c r="B76" t="s">
        <v>31</v>
      </c>
      <c r="C76" t="s">
        <v>25</v>
      </c>
      <c r="D76" t="s">
        <v>24</v>
      </c>
      <c r="E76" t="s">
        <v>45</v>
      </c>
      <c r="F76" t="s">
        <v>41</v>
      </c>
      <c r="G76" t="s">
        <v>65</v>
      </c>
      <c r="H76" t="s">
        <v>51</v>
      </c>
      <c r="I76" t="s">
        <v>41</v>
      </c>
      <c r="J76">
        <v>0</v>
      </c>
    </row>
    <row r="77" spans="1:10">
      <c r="A77">
        <v>76</v>
      </c>
      <c r="B77" t="s">
        <v>17</v>
      </c>
      <c r="C77" t="s">
        <v>18</v>
      </c>
      <c r="D77" t="s">
        <v>32</v>
      </c>
      <c r="E77" t="s">
        <v>58</v>
      </c>
      <c r="F77" t="s">
        <v>41</v>
      </c>
      <c r="G77" t="s">
        <v>49</v>
      </c>
      <c r="H77" t="s">
        <v>67</v>
      </c>
      <c r="I77" t="s">
        <v>41</v>
      </c>
      <c r="J77">
        <v>1</v>
      </c>
    </row>
    <row r="78" spans="1:10">
      <c r="A78">
        <v>77</v>
      </c>
      <c r="B78" t="s">
        <v>17</v>
      </c>
      <c r="C78" t="s">
        <v>18</v>
      </c>
      <c r="D78" t="s">
        <v>27</v>
      </c>
      <c r="E78" t="s">
        <v>45</v>
      </c>
      <c r="F78" t="s">
        <v>50</v>
      </c>
      <c r="G78" t="s">
        <v>65</v>
      </c>
      <c r="H78" t="s">
        <v>51</v>
      </c>
      <c r="I78" t="s">
        <v>59</v>
      </c>
      <c r="J78">
        <v>0</v>
      </c>
    </row>
    <row r="79" spans="1:10">
      <c r="A79">
        <v>78</v>
      </c>
      <c r="B79" t="s">
        <v>17</v>
      </c>
      <c r="C79" t="s">
        <v>18</v>
      </c>
      <c r="D79" t="s">
        <v>19</v>
      </c>
      <c r="E79" t="s">
        <v>40</v>
      </c>
      <c r="F79" t="s">
        <v>41</v>
      </c>
      <c r="G79" t="s">
        <v>41</v>
      </c>
      <c r="H79" t="s">
        <v>57</v>
      </c>
      <c r="I79" t="s">
        <v>41</v>
      </c>
      <c r="J79">
        <v>0</v>
      </c>
    </row>
    <row r="80" spans="1:10">
      <c r="A80">
        <v>79</v>
      </c>
      <c r="B80" t="s">
        <v>17</v>
      </c>
      <c r="C80" t="s">
        <v>18</v>
      </c>
      <c r="D80" t="s">
        <v>19</v>
      </c>
      <c r="E80" t="s">
        <v>48</v>
      </c>
      <c r="F80" t="s">
        <v>41</v>
      </c>
      <c r="G80" t="s">
        <v>41</v>
      </c>
      <c r="H80" t="s">
        <v>43</v>
      </c>
      <c r="I80" t="s">
        <v>59</v>
      </c>
      <c r="J80">
        <v>0</v>
      </c>
    </row>
    <row r="81" spans="1:10">
      <c r="A81">
        <v>80</v>
      </c>
      <c r="B81" t="s">
        <v>31</v>
      </c>
      <c r="C81" t="s">
        <v>25</v>
      </c>
      <c r="D81" t="s">
        <v>24</v>
      </c>
      <c r="E81" t="s">
        <v>45</v>
      </c>
      <c r="F81" t="s">
        <v>41</v>
      </c>
      <c r="G81" t="s">
        <v>65</v>
      </c>
      <c r="H81" t="s">
        <v>51</v>
      </c>
      <c r="I81" t="s">
        <v>41</v>
      </c>
      <c r="J81">
        <v>0</v>
      </c>
    </row>
    <row r="82" spans="1:10">
      <c r="A82">
        <v>81</v>
      </c>
      <c r="B82" t="s">
        <v>17</v>
      </c>
      <c r="C82" t="s">
        <v>21</v>
      </c>
      <c r="D82" t="s">
        <v>19</v>
      </c>
      <c r="E82" t="s">
        <v>40</v>
      </c>
      <c r="F82" t="s">
        <v>61</v>
      </c>
      <c r="G82" t="s">
        <v>56</v>
      </c>
      <c r="H82" t="s">
        <v>67</v>
      </c>
      <c r="I82" t="s">
        <v>52</v>
      </c>
      <c r="J82">
        <v>0</v>
      </c>
    </row>
    <row r="83" spans="1:10">
      <c r="A83">
        <v>82</v>
      </c>
      <c r="B83" t="s">
        <v>17</v>
      </c>
      <c r="C83" t="s">
        <v>25</v>
      </c>
      <c r="D83" t="s">
        <v>19</v>
      </c>
      <c r="E83" t="s">
        <v>40</v>
      </c>
      <c r="F83" t="s">
        <v>41</v>
      </c>
      <c r="G83" t="s">
        <v>41</v>
      </c>
      <c r="H83" t="s">
        <v>67</v>
      </c>
      <c r="I83" t="s">
        <v>41</v>
      </c>
      <c r="J83">
        <v>0</v>
      </c>
    </row>
    <row r="84" spans="1:10">
      <c r="A84">
        <v>83</v>
      </c>
      <c r="B84" t="s">
        <v>17</v>
      </c>
      <c r="C84" t="s">
        <v>18</v>
      </c>
      <c r="D84" t="s">
        <v>34</v>
      </c>
      <c r="E84" t="s">
        <v>67</v>
      </c>
      <c r="F84" t="s">
        <v>67</v>
      </c>
      <c r="G84" t="s">
        <v>67</v>
      </c>
      <c r="H84" t="s">
        <v>67</v>
      </c>
      <c r="I84" t="s">
        <v>67</v>
      </c>
      <c r="J84">
        <v>0</v>
      </c>
    </row>
    <row r="85" spans="1:10">
      <c r="A85">
        <v>84</v>
      </c>
      <c r="B85" t="s">
        <v>17</v>
      </c>
      <c r="C85" t="s">
        <v>18</v>
      </c>
      <c r="D85" t="s">
        <v>19</v>
      </c>
      <c r="E85" t="s">
        <v>45</v>
      </c>
      <c r="F85" t="s">
        <v>61</v>
      </c>
      <c r="G85" t="s">
        <v>65</v>
      </c>
      <c r="H85" t="s">
        <v>46</v>
      </c>
      <c r="I85" t="s">
        <v>59</v>
      </c>
      <c r="J85">
        <v>0</v>
      </c>
    </row>
    <row r="86" spans="1:10">
      <c r="A86">
        <v>85</v>
      </c>
      <c r="B86" t="s">
        <v>20</v>
      </c>
      <c r="C86" t="s">
        <v>23</v>
      </c>
      <c r="D86" t="s">
        <v>29</v>
      </c>
      <c r="E86" t="s">
        <v>40</v>
      </c>
      <c r="F86" t="s">
        <v>41</v>
      </c>
      <c r="G86" t="s">
        <v>56</v>
      </c>
      <c r="H86" t="s">
        <v>57</v>
      </c>
      <c r="I86" t="s">
        <v>44</v>
      </c>
      <c r="J86">
        <v>1</v>
      </c>
    </row>
    <row r="87" spans="1:10">
      <c r="A87">
        <v>86</v>
      </c>
      <c r="B87" t="s">
        <v>22</v>
      </c>
      <c r="C87" t="s">
        <v>23</v>
      </c>
      <c r="D87" t="s">
        <v>19</v>
      </c>
      <c r="E87" t="s">
        <v>48</v>
      </c>
      <c r="F87" t="s">
        <v>41</v>
      </c>
      <c r="G87" t="s">
        <v>41</v>
      </c>
      <c r="H87" t="s">
        <v>67</v>
      </c>
      <c r="I87" t="s">
        <v>44</v>
      </c>
      <c r="J87">
        <v>1</v>
      </c>
    </row>
    <row r="88" spans="1:10">
      <c r="A88">
        <v>87</v>
      </c>
      <c r="B88" t="s">
        <v>17</v>
      </c>
      <c r="C88" t="s">
        <v>18</v>
      </c>
      <c r="D88" t="s">
        <v>19</v>
      </c>
      <c r="E88" t="s">
        <v>48</v>
      </c>
      <c r="F88" t="s">
        <v>55</v>
      </c>
      <c r="G88" t="s">
        <v>41</v>
      </c>
      <c r="H88" t="s">
        <v>51</v>
      </c>
      <c r="I88" t="s">
        <v>52</v>
      </c>
      <c r="J88">
        <v>0</v>
      </c>
    </row>
    <row r="89" spans="1:10">
      <c r="A89">
        <v>88</v>
      </c>
      <c r="B89" t="s">
        <v>17</v>
      </c>
      <c r="C89" t="s">
        <v>18</v>
      </c>
      <c r="D89" t="s">
        <v>19</v>
      </c>
      <c r="E89" t="s">
        <v>40</v>
      </c>
      <c r="F89" t="s">
        <v>41</v>
      </c>
      <c r="G89" t="s">
        <v>65</v>
      </c>
      <c r="H89" t="s">
        <v>67</v>
      </c>
      <c r="I89" t="s">
        <v>53</v>
      </c>
      <c r="J89">
        <v>0</v>
      </c>
    </row>
    <row r="90" spans="1:10">
      <c r="A90">
        <v>89</v>
      </c>
      <c r="B90" t="s">
        <v>17</v>
      </c>
      <c r="C90" t="s">
        <v>18</v>
      </c>
      <c r="D90" t="s">
        <v>19</v>
      </c>
      <c r="E90" t="s">
        <v>42</v>
      </c>
      <c r="F90" t="s">
        <v>41</v>
      </c>
      <c r="G90" t="s">
        <v>65</v>
      </c>
      <c r="H90" t="s">
        <v>41</v>
      </c>
      <c r="I90" t="s">
        <v>52</v>
      </c>
      <c r="J90">
        <v>0</v>
      </c>
    </row>
    <row r="91" spans="1:10">
      <c r="A91">
        <v>90</v>
      </c>
      <c r="B91" t="s">
        <v>22</v>
      </c>
      <c r="C91" t="s">
        <v>21</v>
      </c>
      <c r="D91" t="s">
        <v>26</v>
      </c>
      <c r="E91" t="s">
        <v>48</v>
      </c>
      <c r="F91" t="s">
        <v>55</v>
      </c>
      <c r="G91" t="s">
        <v>41</v>
      </c>
      <c r="H91" t="s">
        <v>51</v>
      </c>
      <c r="I91" t="s">
        <v>59</v>
      </c>
      <c r="J91">
        <v>0</v>
      </c>
    </row>
    <row r="92" spans="1:10">
      <c r="A92">
        <v>91</v>
      </c>
      <c r="B92" t="s">
        <v>17</v>
      </c>
      <c r="C92" t="s">
        <v>18</v>
      </c>
      <c r="D92" t="s">
        <v>19</v>
      </c>
      <c r="E92" t="s">
        <v>45</v>
      </c>
      <c r="F92" t="s">
        <v>60</v>
      </c>
      <c r="G92" t="s">
        <v>65</v>
      </c>
      <c r="H92" t="s">
        <v>67</v>
      </c>
      <c r="I92" t="s">
        <v>59</v>
      </c>
      <c r="J92">
        <v>0</v>
      </c>
    </row>
    <row r="93" spans="1:10">
      <c r="A93">
        <v>92</v>
      </c>
      <c r="B93" t="s">
        <v>17</v>
      </c>
      <c r="C93" t="s">
        <v>18</v>
      </c>
      <c r="D93" t="s">
        <v>19</v>
      </c>
      <c r="E93" t="s">
        <v>45</v>
      </c>
      <c r="F93" t="s">
        <v>61</v>
      </c>
      <c r="G93" t="s">
        <v>49</v>
      </c>
      <c r="H93" t="s">
        <v>46</v>
      </c>
      <c r="I93" t="s">
        <v>53</v>
      </c>
      <c r="J93">
        <v>0</v>
      </c>
    </row>
    <row r="94" spans="1:10">
      <c r="A94">
        <v>93</v>
      </c>
      <c r="B94" t="s">
        <v>17</v>
      </c>
      <c r="C94" t="s">
        <v>18</v>
      </c>
      <c r="D94" t="s">
        <v>27</v>
      </c>
      <c r="E94" t="s">
        <v>45</v>
      </c>
      <c r="F94" t="s">
        <v>50</v>
      </c>
      <c r="G94" t="s">
        <v>56</v>
      </c>
      <c r="H94" t="s">
        <v>43</v>
      </c>
      <c r="I94" t="s">
        <v>52</v>
      </c>
      <c r="J94">
        <v>0</v>
      </c>
    </row>
    <row r="95" spans="1:10">
      <c r="A95">
        <v>94</v>
      </c>
      <c r="B95" t="s">
        <v>31</v>
      </c>
      <c r="C95" t="s">
        <v>23</v>
      </c>
      <c r="D95" t="s">
        <v>26</v>
      </c>
      <c r="E95" t="s">
        <v>40</v>
      </c>
      <c r="F95" t="s">
        <v>60</v>
      </c>
      <c r="G95" t="s">
        <v>49</v>
      </c>
      <c r="H95" t="s">
        <v>46</v>
      </c>
      <c r="I95" t="s">
        <v>67</v>
      </c>
      <c r="J95">
        <v>1</v>
      </c>
    </row>
    <row r="96" spans="1:10">
      <c r="A96">
        <v>95</v>
      </c>
      <c r="B96" t="s">
        <v>22</v>
      </c>
      <c r="C96" t="s">
        <v>23</v>
      </c>
      <c r="D96" t="s">
        <v>26</v>
      </c>
      <c r="E96" t="s">
        <v>48</v>
      </c>
      <c r="F96" t="s">
        <v>41</v>
      </c>
      <c r="G96" t="s">
        <v>41</v>
      </c>
      <c r="H96" t="s">
        <v>67</v>
      </c>
      <c r="I96" t="s">
        <v>67</v>
      </c>
      <c r="J96">
        <v>1</v>
      </c>
    </row>
    <row r="97" spans="1:10">
      <c r="A97">
        <v>96</v>
      </c>
      <c r="B97" t="s">
        <v>17</v>
      </c>
      <c r="C97" t="s">
        <v>18</v>
      </c>
      <c r="D97" t="s">
        <v>19</v>
      </c>
      <c r="E97" t="s">
        <v>40</v>
      </c>
      <c r="F97" t="s">
        <v>61</v>
      </c>
      <c r="G97" t="s">
        <v>56</v>
      </c>
      <c r="H97" t="s">
        <v>67</v>
      </c>
      <c r="I97" t="s">
        <v>47</v>
      </c>
      <c r="J97">
        <v>0</v>
      </c>
    </row>
    <row r="98" spans="1:10">
      <c r="A98">
        <v>97</v>
      </c>
      <c r="B98" t="s">
        <v>17</v>
      </c>
      <c r="C98" t="s">
        <v>18</v>
      </c>
      <c r="D98" t="s">
        <v>19</v>
      </c>
      <c r="E98" t="s">
        <v>45</v>
      </c>
      <c r="F98" t="s">
        <v>50</v>
      </c>
      <c r="G98" t="s">
        <v>56</v>
      </c>
      <c r="H98" t="s">
        <v>46</v>
      </c>
      <c r="I98" t="s">
        <v>62</v>
      </c>
      <c r="J98">
        <v>0</v>
      </c>
    </row>
    <row r="99" spans="1:10">
      <c r="A99">
        <v>98</v>
      </c>
      <c r="B99" t="s">
        <v>17</v>
      </c>
      <c r="C99" t="s">
        <v>18</v>
      </c>
      <c r="D99" t="s">
        <v>19</v>
      </c>
      <c r="E99" t="s">
        <v>45</v>
      </c>
      <c r="F99" t="s">
        <v>41</v>
      </c>
      <c r="G99" t="s">
        <v>56</v>
      </c>
      <c r="H99" t="s">
        <v>67</v>
      </c>
      <c r="I99" t="s">
        <v>54</v>
      </c>
      <c r="J99">
        <v>0</v>
      </c>
    </row>
    <row r="100" spans="1:10">
      <c r="A100">
        <v>99</v>
      </c>
      <c r="B100" t="s">
        <v>17</v>
      </c>
      <c r="C100" t="s">
        <v>18</v>
      </c>
      <c r="D100" t="s">
        <v>19</v>
      </c>
      <c r="E100" t="s">
        <v>45</v>
      </c>
      <c r="F100" t="s">
        <v>61</v>
      </c>
      <c r="G100" t="s">
        <v>65</v>
      </c>
      <c r="H100" t="s">
        <v>63</v>
      </c>
      <c r="I100" t="s">
        <v>59</v>
      </c>
      <c r="J100">
        <v>0</v>
      </c>
    </row>
    <row r="101" spans="1:10">
      <c r="A101">
        <v>100</v>
      </c>
      <c r="B101" t="s">
        <v>17</v>
      </c>
      <c r="C101" t="s">
        <v>21</v>
      </c>
      <c r="D101" t="s">
        <v>19</v>
      </c>
      <c r="E101" t="s">
        <v>58</v>
      </c>
      <c r="F101" t="s">
        <v>41</v>
      </c>
      <c r="G101" t="s">
        <v>41</v>
      </c>
      <c r="H101" t="s">
        <v>67</v>
      </c>
      <c r="I101" t="s">
        <v>47</v>
      </c>
      <c r="J101">
        <v>0</v>
      </c>
    </row>
    <row r="102" spans="1:10">
      <c r="A102">
        <v>101</v>
      </c>
      <c r="B102" t="s">
        <v>17</v>
      </c>
      <c r="C102" t="s">
        <v>18</v>
      </c>
      <c r="D102" t="s">
        <v>26</v>
      </c>
      <c r="E102" t="s">
        <v>40</v>
      </c>
      <c r="F102" t="s">
        <v>41</v>
      </c>
      <c r="G102" t="s">
        <v>41</v>
      </c>
      <c r="H102" t="s">
        <v>67</v>
      </c>
      <c r="I102" t="s">
        <v>41</v>
      </c>
      <c r="J102">
        <v>0</v>
      </c>
    </row>
    <row r="103" spans="1:10">
      <c r="A103">
        <v>102</v>
      </c>
      <c r="B103" t="s">
        <v>17</v>
      </c>
      <c r="C103" t="s">
        <v>18</v>
      </c>
      <c r="D103" t="s">
        <v>19</v>
      </c>
      <c r="E103" t="s">
        <v>48</v>
      </c>
      <c r="F103" t="s">
        <v>60</v>
      </c>
      <c r="G103" t="s">
        <v>49</v>
      </c>
      <c r="H103" t="s">
        <v>57</v>
      </c>
      <c r="I103" t="s">
        <v>59</v>
      </c>
      <c r="J103">
        <v>0</v>
      </c>
    </row>
    <row r="104" spans="1:10">
      <c r="A104">
        <v>103</v>
      </c>
      <c r="B104" t="s">
        <v>17</v>
      </c>
      <c r="C104" t="s">
        <v>21</v>
      </c>
      <c r="D104" t="s">
        <v>19</v>
      </c>
      <c r="E104" t="s">
        <v>42</v>
      </c>
      <c r="F104" t="s">
        <v>50</v>
      </c>
      <c r="G104" t="s">
        <v>41</v>
      </c>
      <c r="H104" t="s">
        <v>41</v>
      </c>
      <c r="I104" t="s">
        <v>53</v>
      </c>
      <c r="J104">
        <v>0</v>
      </c>
    </row>
    <row r="105" spans="1:10">
      <c r="A105">
        <v>104</v>
      </c>
      <c r="B105" t="s">
        <v>17</v>
      </c>
      <c r="C105" t="s">
        <v>18</v>
      </c>
      <c r="D105" t="s">
        <v>26</v>
      </c>
      <c r="E105" t="s">
        <v>45</v>
      </c>
      <c r="F105" t="s">
        <v>41</v>
      </c>
      <c r="G105" t="s">
        <v>49</v>
      </c>
      <c r="H105" t="s">
        <v>63</v>
      </c>
      <c r="I105" t="s">
        <v>52</v>
      </c>
      <c r="J105">
        <v>0</v>
      </c>
    </row>
    <row r="106" spans="1:10">
      <c r="A106">
        <v>105</v>
      </c>
      <c r="B106" t="s">
        <v>20</v>
      </c>
      <c r="C106" t="s">
        <v>18</v>
      </c>
      <c r="D106" t="s">
        <v>19</v>
      </c>
      <c r="E106" t="s">
        <v>42</v>
      </c>
      <c r="F106" t="s">
        <v>41</v>
      </c>
      <c r="G106" t="s">
        <v>65</v>
      </c>
      <c r="H106" t="s">
        <v>43</v>
      </c>
      <c r="I106" t="s">
        <v>47</v>
      </c>
      <c r="J106">
        <v>0</v>
      </c>
    </row>
    <row r="107" spans="1:10">
      <c r="A107">
        <v>106</v>
      </c>
      <c r="B107" t="s">
        <v>17</v>
      </c>
      <c r="C107" t="s">
        <v>18</v>
      </c>
      <c r="D107" t="s">
        <v>19</v>
      </c>
      <c r="E107" t="s">
        <v>48</v>
      </c>
      <c r="F107" t="s">
        <v>55</v>
      </c>
      <c r="G107" t="s">
        <v>49</v>
      </c>
      <c r="H107" t="s">
        <v>63</v>
      </c>
      <c r="I107" t="s">
        <v>67</v>
      </c>
      <c r="J107">
        <v>0</v>
      </c>
    </row>
    <row r="108" spans="1:10">
      <c r="A108">
        <v>107</v>
      </c>
      <c r="B108" t="s">
        <v>17</v>
      </c>
      <c r="C108" t="s">
        <v>21</v>
      </c>
      <c r="D108" t="s">
        <v>19</v>
      </c>
      <c r="E108" t="s">
        <v>45</v>
      </c>
      <c r="F108" t="s">
        <v>41</v>
      </c>
      <c r="G108" t="s">
        <v>56</v>
      </c>
      <c r="H108" t="s">
        <v>51</v>
      </c>
      <c r="I108" t="s">
        <v>47</v>
      </c>
      <c r="J108">
        <v>0</v>
      </c>
    </row>
    <row r="109" spans="1:10">
      <c r="A109">
        <v>108</v>
      </c>
      <c r="B109" t="s">
        <v>17</v>
      </c>
      <c r="C109" t="s">
        <v>18</v>
      </c>
      <c r="D109" t="s">
        <v>26</v>
      </c>
      <c r="E109" t="s">
        <v>58</v>
      </c>
      <c r="F109" t="s">
        <v>67</v>
      </c>
      <c r="G109" t="s">
        <v>67</v>
      </c>
      <c r="H109" t="s">
        <v>51</v>
      </c>
      <c r="I109" t="s">
        <v>47</v>
      </c>
      <c r="J109">
        <v>0</v>
      </c>
    </row>
    <row r="110" spans="1:10">
      <c r="A110">
        <v>109</v>
      </c>
      <c r="B110" t="s">
        <v>17</v>
      </c>
      <c r="C110" t="s">
        <v>18</v>
      </c>
      <c r="D110" t="s">
        <v>19</v>
      </c>
      <c r="E110" t="s">
        <v>45</v>
      </c>
      <c r="F110" t="s">
        <v>50</v>
      </c>
      <c r="G110" t="s">
        <v>65</v>
      </c>
      <c r="H110" t="s">
        <v>43</v>
      </c>
      <c r="I110" t="s">
        <v>62</v>
      </c>
      <c r="J110">
        <v>0</v>
      </c>
    </row>
    <row r="111" spans="1:10">
      <c r="A111">
        <v>110</v>
      </c>
      <c r="B111" t="s">
        <v>17</v>
      </c>
      <c r="C111" t="s">
        <v>18</v>
      </c>
      <c r="D111" t="s">
        <v>19</v>
      </c>
      <c r="E111" t="s">
        <v>45</v>
      </c>
      <c r="F111" t="s">
        <v>41</v>
      </c>
      <c r="G111" t="s">
        <v>49</v>
      </c>
      <c r="H111" t="s">
        <v>43</v>
      </c>
      <c r="I111" t="s">
        <v>44</v>
      </c>
      <c r="J111">
        <v>0</v>
      </c>
    </row>
    <row r="112" spans="1:10">
      <c r="A112">
        <v>111</v>
      </c>
      <c r="B112" t="s">
        <v>17</v>
      </c>
      <c r="C112" t="s">
        <v>18</v>
      </c>
      <c r="D112" t="s">
        <v>19</v>
      </c>
      <c r="E112" t="s">
        <v>48</v>
      </c>
      <c r="F112" t="s">
        <v>60</v>
      </c>
      <c r="G112" t="s">
        <v>64</v>
      </c>
      <c r="H112" t="s">
        <v>67</v>
      </c>
      <c r="I112" t="s">
        <v>59</v>
      </c>
      <c r="J112">
        <v>0</v>
      </c>
    </row>
    <row r="113" spans="1:10">
      <c r="A113">
        <v>112</v>
      </c>
      <c r="B113" t="s">
        <v>17</v>
      </c>
      <c r="C113" t="s">
        <v>18</v>
      </c>
      <c r="D113" t="s">
        <v>19</v>
      </c>
      <c r="E113" t="s">
        <v>48</v>
      </c>
      <c r="F113" t="s">
        <v>41</v>
      </c>
      <c r="G113" t="s">
        <v>49</v>
      </c>
      <c r="H113" t="s">
        <v>51</v>
      </c>
      <c r="I113" t="s">
        <v>59</v>
      </c>
      <c r="J113">
        <v>0</v>
      </c>
    </row>
    <row r="114" spans="1:10">
      <c r="A114">
        <v>113</v>
      </c>
      <c r="B114" t="s">
        <v>20</v>
      </c>
      <c r="C114" t="s">
        <v>21</v>
      </c>
      <c r="D114" t="s">
        <v>26</v>
      </c>
      <c r="E114" t="s">
        <v>40</v>
      </c>
      <c r="F114" t="s">
        <v>41</v>
      </c>
      <c r="G114" t="s">
        <v>41</v>
      </c>
      <c r="H114" t="s">
        <v>67</v>
      </c>
      <c r="I114" t="s">
        <v>54</v>
      </c>
      <c r="J114">
        <v>0</v>
      </c>
    </row>
    <row r="115" spans="1:10">
      <c r="A115">
        <v>114</v>
      </c>
      <c r="B115" t="s">
        <v>17</v>
      </c>
      <c r="C115" t="s">
        <v>18</v>
      </c>
      <c r="D115" t="s">
        <v>19</v>
      </c>
      <c r="E115" t="s">
        <v>40</v>
      </c>
      <c r="F115" t="s">
        <v>60</v>
      </c>
      <c r="G115" t="s">
        <v>65</v>
      </c>
      <c r="H115" t="s">
        <v>67</v>
      </c>
      <c r="I115" t="s">
        <v>52</v>
      </c>
      <c r="J115">
        <v>0</v>
      </c>
    </row>
    <row r="116" spans="1:10">
      <c r="A116">
        <v>115</v>
      </c>
      <c r="B116" t="s">
        <v>17</v>
      </c>
      <c r="C116" t="s">
        <v>18</v>
      </c>
      <c r="D116" t="s">
        <v>26</v>
      </c>
      <c r="E116" t="s">
        <v>40</v>
      </c>
      <c r="F116" t="s">
        <v>41</v>
      </c>
      <c r="G116" t="s">
        <v>41</v>
      </c>
      <c r="H116" t="s">
        <v>67</v>
      </c>
      <c r="I116" t="s">
        <v>41</v>
      </c>
      <c r="J116">
        <v>0</v>
      </c>
    </row>
    <row r="117" spans="1:10">
      <c r="A117">
        <v>116</v>
      </c>
      <c r="B117" t="s">
        <v>20</v>
      </c>
      <c r="C117" t="s">
        <v>18</v>
      </c>
      <c r="D117" t="s">
        <v>19</v>
      </c>
      <c r="E117" t="s">
        <v>58</v>
      </c>
      <c r="F117" t="s">
        <v>55</v>
      </c>
      <c r="G117" t="s">
        <v>56</v>
      </c>
      <c r="H117" t="s">
        <v>51</v>
      </c>
      <c r="I117" t="s">
        <v>62</v>
      </c>
      <c r="J117">
        <v>0</v>
      </c>
    </row>
    <row r="118" spans="1:10">
      <c r="A118">
        <v>117</v>
      </c>
      <c r="B118" t="s">
        <v>17</v>
      </c>
      <c r="C118" t="s">
        <v>18</v>
      </c>
      <c r="D118" t="s">
        <v>32</v>
      </c>
      <c r="E118" t="s">
        <v>45</v>
      </c>
      <c r="F118" t="s">
        <v>41</v>
      </c>
      <c r="G118" t="s">
        <v>41</v>
      </c>
      <c r="H118" t="s">
        <v>51</v>
      </c>
      <c r="I118" t="s">
        <v>52</v>
      </c>
      <c r="J118">
        <v>1</v>
      </c>
    </row>
    <row r="119" spans="1:10">
      <c r="A119">
        <v>118</v>
      </c>
      <c r="B119" t="s">
        <v>17</v>
      </c>
      <c r="C119" t="s">
        <v>18</v>
      </c>
      <c r="D119" t="s">
        <v>26</v>
      </c>
      <c r="E119" t="s">
        <v>58</v>
      </c>
      <c r="F119" t="s">
        <v>41</v>
      </c>
      <c r="G119" t="s">
        <v>64</v>
      </c>
      <c r="H119" t="s">
        <v>67</v>
      </c>
      <c r="I119" t="s">
        <v>54</v>
      </c>
      <c r="J119">
        <v>0</v>
      </c>
    </row>
    <row r="120" spans="1:10">
      <c r="A120">
        <v>119</v>
      </c>
      <c r="B120" t="s">
        <v>17</v>
      </c>
      <c r="C120" t="s">
        <v>23</v>
      </c>
      <c r="D120" t="s">
        <v>32</v>
      </c>
      <c r="E120" t="s">
        <v>45</v>
      </c>
      <c r="F120" t="s">
        <v>41</v>
      </c>
      <c r="G120" t="s">
        <v>41</v>
      </c>
      <c r="H120" t="s">
        <v>51</v>
      </c>
      <c r="I120" t="s">
        <v>62</v>
      </c>
      <c r="J120">
        <v>0</v>
      </c>
    </row>
    <row r="121" spans="1:10">
      <c r="A121">
        <v>120</v>
      </c>
      <c r="B121" t="s">
        <v>17</v>
      </c>
      <c r="C121" t="s">
        <v>18</v>
      </c>
      <c r="D121" t="s">
        <v>19</v>
      </c>
      <c r="E121" t="s">
        <v>48</v>
      </c>
      <c r="F121" t="s">
        <v>60</v>
      </c>
      <c r="G121" t="s">
        <v>49</v>
      </c>
      <c r="H121" t="s">
        <v>51</v>
      </c>
      <c r="I121" t="s">
        <v>53</v>
      </c>
      <c r="J121">
        <v>0</v>
      </c>
    </row>
    <row r="122" spans="1:10">
      <c r="A122">
        <v>121</v>
      </c>
      <c r="B122" t="s">
        <v>17</v>
      </c>
      <c r="C122" t="s">
        <v>18</v>
      </c>
      <c r="D122" t="s">
        <v>19</v>
      </c>
      <c r="E122" t="s">
        <v>40</v>
      </c>
      <c r="F122" t="s">
        <v>41</v>
      </c>
      <c r="G122" t="s">
        <v>41</v>
      </c>
      <c r="H122" t="s">
        <v>67</v>
      </c>
      <c r="I122" t="s">
        <v>41</v>
      </c>
      <c r="J122">
        <v>0</v>
      </c>
    </row>
    <row r="123" spans="1:10">
      <c r="A123">
        <v>122</v>
      </c>
      <c r="B123" t="s">
        <v>17</v>
      </c>
      <c r="C123" t="s">
        <v>18</v>
      </c>
      <c r="D123" t="s">
        <v>19</v>
      </c>
      <c r="E123" t="s">
        <v>40</v>
      </c>
      <c r="F123" t="s">
        <v>41</v>
      </c>
      <c r="G123" t="s">
        <v>41</v>
      </c>
      <c r="H123" t="s">
        <v>67</v>
      </c>
      <c r="I123" t="s">
        <v>47</v>
      </c>
      <c r="J123">
        <v>0</v>
      </c>
    </row>
    <row r="124" spans="1:10">
      <c r="A124">
        <v>123</v>
      </c>
      <c r="B124" t="s">
        <v>17</v>
      </c>
      <c r="C124" t="s">
        <v>18</v>
      </c>
      <c r="D124" t="s">
        <v>19</v>
      </c>
      <c r="E124" t="s">
        <v>45</v>
      </c>
      <c r="F124" t="s">
        <v>61</v>
      </c>
      <c r="G124" t="s">
        <v>49</v>
      </c>
      <c r="H124" t="s">
        <v>46</v>
      </c>
      <c r="I124" t="s">
        <v>59</v>
      </c>
      <c r="J124">
        <v>0</v>
      </c>
    </row>
    <row r="125" spans="1:10">
      <c r="A125">
        <v>124</v>
      </c>
      <c r="B125" t="s">
        <v>22</v>
      </c>
      <c r="C125" t="s">
        <v>23</v>
      </c>
      <c r="D125" t="s">
        <v>35</v>
      </c>
      <c r="E125" t="s">
        <v>48</v>
      </c>
      <c r="F125" t="s">
        <v>41</v>
      </c>
      <c r="G125" t="s">
        <v>41</v>
      </c>
      <c r="H125" t="s">
        <v>67</v>
      </c>
      <c r="I125" t="s">
        <v>44</v>
      </c>
      <c r="J125">
        <v>1</v>
      </c>
    </row>
    <row r="126" spans="1:10">
      <c r="A126">
        <v>125</v>
      </c>
      <c r="B126" t="s">
        <v>17</v>
      </c>
      <c r="C126" t="s">
        <v>21</v>
      </c>
      <c r="D126" t="s">
        <v>19</v>
      </c>
      <c r="E126" t="s">
        <v>40</v>
      </c>
      <c r="F126" t="s">
        <v>41</v>
      </c>
      <c r="G126" t="s">
        <v>64</v>
      </c>
      <c r="H126" t="s">
        <v>67</v>
      </c>
      <c r="I126" t="s">
        <v>44</v>
      </c>
      <c r="J126">
        <v>0</v>
      </c>
    </row>
    <row r="127" spans="1:10">
      <c r="A127">
        <v>126</v>
      </c>
      <c r="B127" t="s">
        <v>17</v>
      </c>
      <c r="C127" t="s">
        <v>18</v>
      </c>
      <c r="D127" t="s">
        <v>24</v>
      </c>
      <c r="E127" t="s">
        <v>48</v>
      </c>
      <c r="F127" t="s">
        <v>61</v>
      </c>
      <c r="G127" t="s">
        <v>41</v>
      </c>
      <c r="H127" t="s">
        <v>57</v>
      </c>
      <c r="I127" t="s">
        <v>59</v>
      </c>
      <c r="J127">
        <v>0</v>
      </c>
    </row>
    <row r="128" spans="1:10">
      <c r="A128">
        <v>127</v>
      </c>
      <c r="B128" t="s">
        <v>22</v>
      </c>
      <c r="C128" t="s">
        <v>25</v>
      </c>
      <c r="D128" t="s">
        <v>35</v>
      </c>
      <c r="E128" t="s">
        <v>48</v>
      </c>
      <c r="F128" t="s">
        <v>61</v>
      </c>
      <c r="G128" t="s">
        <v>49</v>
      </c>
      <c r="H128" t="s">
        <v>63</v>
      </c>
      <c r="I128" t="s">
        <v>67</v>
      </c>
      <c r="J128">
        <v>1</v>
      </c>
    </row>
    <row r="129" spans="1:10">
      <c r="A129">
        <v>128</v>
      </c>
      <c r="B129" t="s">
        <v>31</v>
      </c>
      <c r="C129" t="s">
        <v>25</v>
      </c>
      <c r="D129" t="s">
        <v>24</v>
      </c>
      <c r="E129" t="s">
        <v>45</v>
      </c>
      <c r="F129" t="s">
        <v>41</v>
      </c>
      <c r="G129" t="s">
        <v>41</v>
      </c>
      <c r="H129" t="s">
        <v>43</v>
      </c>
      <c r="I129" t="s">
        <v>41</v>
      </c>
      <c r="J129">
        <v>0</v>
      </c>
    </row>
    <row r="130" spans="1:10">
      <c r="A130">
        <v>129</v>
      </c>
      <c r="B130" t="s">
        <v>17</v>
      </c>
      <c r="C130" t="s">
        <v>18</v>
      </c>
      <c r="D130" t="s">
        <v>19</v>
      </c>
      <c r="E130" t="s">
        <v>40</v>
      </c>
      <c r="F130" t="s">
        <v>41</v>
      </c>
      <c r="G130" t="s">
        <v>67</v>
      </c>
      <c r="H130" t="s">
        <v>66</v>
      </c>
      <c r="I130" t="s">
        <v>41</v>
      </c>
      <c r="J130">
        <v>0</v>
      </c>
    </row>
    <row r="131" spans="1:10">
      <c r="A131">
        <v>130</v>
      </c>
      <c r="B131" t="s">
        <v>17</v>
      </c>
      <c r="C131" t="s">
        <v>18</v>
      </c>
      <c r="D131" t="s">
        <v>19</v>
      </c>
      <c r="E131" t="s">
        <v>45</v>
      </c>
      <c r="F131" t="s">
        <v>61</v>
      </c>
      <c r="G131" t="s">
        <v>41</v>
      </c>
      <c r="H131" t="s">
        <v>46</v>
      </c>
      <c r="I131" t="s">
        <v>53</v>
      </c>
      <c r="J131">
        <v>0</v>
      </c>
    </row>
    <row r="132" spans="1:10">
      <c r="A132">
        <v>131</v>
      </c>
      <c r="B132" t="s">
        <v>17</v>
      </c>
      <c r="C132" t="s">
        <v>18</v>
      </c>
      <c r="D132" t="s">
        <v>19</v>
      </c>
      <c r="E132" t="s">
        <v>45</v>
      </c>
      <c r="F132" t="s">
        <v>41</v>
      </c>
      <c r="G132" t="s">
        <v>56</v>
      </c>
      <c r="H132" t="s">
        <v>63</v>
      </c>
      <c r="I132" t="s">
        <v>52</v>
      </c>
      <c r="J132">
        <v>0</v>
      </c>
    </row>
    <row r="133" spans="1:10">
      <c r="A133">
        <v>132</v>
      </c>
      <c r="B133" t="s">
        <v>17</v>
      </c>
      <c r="C133" t="s">
        <v>18</v>
      </c>
      <c r="D133" t="s">
        <v>19</v>
      </c>
      <c r="E133" t="s">
        <v>42</v>
      </c>
      <c r="F133" t="s">
        <v>41</v>
      </c>
      <c r="G133" t="s">
        <v>49</v>
      </c>
      <c r="H133" t="s">
        <v>41</v>
      </c>
      <c r="I133" t="s">
        <v>62</v>
      </c>
      <c r="J133">
        <v>0</v>
      </c>
    </row>
    <row r="134" spans="1:10">
      <c r="A134">
        <v>133</v>
      </c>
      <c r="B134" t="s">
        <v>17</v>
      </c>
      <c r="C134" t="s">
        <v>18</v>
      </c>
      <c r="D134" t="s">
        <v>27</v>
      </c>
      <c r="E134" t="s">
        <v>45</v>
      </c>
      <c r="F134" t="s">
        <v>41</v>
      </c>
      <c r="G134" t="s">
        <v>56</v>
      </c>
      <c r="H134" t="s">
        <v>43</v>
      </c>
      <c r="I134" t="s">
        <v>41</v>
      </c>
      <c r="J134">
        <v>0</v>
      </c>
    </row>
    <row r="135" spans="1:10">
      <c r="A135">
        <v>134</v>
      </c>
      <c r="B135" t="s">
        <v>17</v>
      </c>
      <c r="C135" t="s">
        <v>18</v>
      </c>
      <c r="D135" t="s">
        <v>19</v>
      </c>
      <c r="E135" t="s">
        <v>40</v>
      </c>
      <c r="F135" t="s">
        <v>41</v>
      </c>
      <c r="G135" t="s">
        <v>41</v>
      </c>
      <c r="H135" t="s">
        <v>67</v>
      </c>
      <c r="I135" t="s">
        <v>41</v>
      </c>
      <c r="J135">
        <v>0</v>
      </c>
    </row>
    <row r="136" spans="1:10">
      <c r="A136">
        <v>135</v>
      </c>
      <c r="B136" t="s">
        <v>17</v>
      </c>
      <c r="C136" t="s">
        <v>18</v>
      </c>
      <c r="D136" t="s">
        <v>19</v>
      </c>
      <c r="E136" t="s">
        <v>40</v>
      </c>
      <c r="F136" t="s">
        <v>41</v>
      </c>
      <c r="G136" t="s">
        <v>49</v>
      </c>
      <c r="H136" t="s">
        <v>67</v>
      </c>
      <c r="I136" t="s">
        <v>41</v>
      </c>
      <c r="J136">
        <v>0</v>
      </c>
    </row>
    <row r="137" spans="1:10">
      <c r="A137">
        <v>136</v>
      </c>
      <c r="B137" t="s">
        <v>17</v>
      </c>
      <c r="C137" t="s">
        <v>25</v>
      </c>
      <c r="D137" t="s">
        <v>26</v>
      </c>
      <c r="E137" t="s">
        <v>58</v>
      </c>
      <c r="F137" t="s">
        <v>41</v>
      </c>
      <c r="G137" t="s">
        <v>65</v>
      </c>
      <c r="H137" t="s">
        <v>67</v>
      </c>
      <c r="I137" t="s">
        <v>41</v>
      </c>
      <c r="J137">
        <v>1</v>
      </c>
    </row>
    <row r="138" spans="1:10">
      <c r="A138">
        <v>137</v>
      </c>
      <c r="B138" t="s">
        <v>17</v>
      </c>
      <c r="C138" t="s">
        <v>25</v>
      </c>
      <c r="D138" t="s">
        <v>19</v>
      </c>
      <c r="E138" t="s">
        <v>40</v>
      </c>
      <c r="F138" t="s">
        <v>41</v>
      </c>
      <c r="G138" t="s">
        <v>41</v>
      </c>
      <c r="H138" t="s">
        <v>41</v>
      </c>
      <c r="I138" t="s">
        <v>54</v>
      </c>
      <c r="J138">
        <v>1</v>
      </c>
    </row>
    <row r="139" spans="1:10">
      <c r="A139">
        <v>138</v>
      </c>
      <c r="B139" t="s">
        <v>17</v>
      </c>
      <c r="C139" t="s">
        <v>18</v>
      </c>
      <c r="D139" t="s">
        <v>19</v>
      </c>
      <c r="E139" t="s">
        <v>48</v>
      </c>
      <c r="F139" t="s">
        <v>41</v>
      </c>
      <c r="G139" t="s">
        <v>49</v>
      </c>
      <c r="H139" t="s">
        <v>67</v>
      </c>
      <c r="I139" t="s">
        <v>44</v>
      </c>
      <c r="J139">
        <v>1</v>
      </c>
    </row>
    <row r="140" spans="1:10">
      <c r="A140">
        <v>139</v>
      </c>
      <c r="B140" t="s">
        <v>17</v>
      </c>
      <c r="C140" t="s">
        <v>18</v>
      </c>
      <c r="D140" t="s">
        <v>19</v>
      </c>
      <c r="E140" t="s">
        <v>45</v>
      </c>
      <c r="F140" t="s">
        <v>41</v>
      </c>
      <c r="G140" t="s">
        <v>65</v>
      </c>
      <c r="H140" t="s">
        <v>57</v>
      </c>
      <c r="I140" t="s">
        <v>59</v>
      </c>
      <c r="J140">
        <v>1</v>
      </c>
    </row>
    <row r="141" spans="1:10">
      <c r="A141">
        <v>140</v>
      </c>
      <c r="B141" t="s">
        <v>17</v>
      </c>
      <c r="C141" t="s">
        <v>18</v>
      </c>
      <c r="D141" t="s">
        <v>19</v>
      </c>
      <c r="E141" t="s">
        <v>45</v>
      </c>
      <c r="F141" t="s">
        <v>41</v>
      </c>
      <c r="G141" t="s">
        <v>64</v>
      </c>
      <c r="H141" t="s">
        <v>46</v>
      </c>
      <c r="I141" t="s">
        <v>62</v>
      </c>
      <c r="J141">
        <v>0</v>
      </c>
    </row>
    <row r="142" spans="1:10">
      <c r="A142">
        <v>141</v>
      </c>
      <c r="B142" t="s">
        <v>17</v>
      </c>
      <c r="C142" t="s">
        <v>23</v>
      </c>
      <c r="D142" t="s">
        <v>19</v>
      </c>
      <c r="E142" t="s">
        <v>58</v>
      </c>
      <c r="F142" t="s">
        <v>41</v>
      </c>
      <c r="G142" t="s">
        <v>56</v>
      </c>
      <c r="H142" t="s">
        <v>67</v>
      </c>
      <c r="I142" t="s">
        <v>44</v>
      </c>
      <c r="J142">
        <v>0</v>
      </c>
    </row>
    <row r="143" spans="1:10">
      <c r="A143">
        <v>142</v>
      </c>
      <c r="B143" t="s">
        <v>17</v>
      </c>
      <c r="C143" t="s">
        <v>18</v>
      </c>
      <c r="D143" t="s">
        <v>19</v>
      </c>
      <c r="E143" t="s">
        <v>48</v>
      </c>
      <c r="F143" t="s">
        <v>55</v>
      </c>
      <c r="G143" t="s">
        <v>64</v>
      </c>
      <c r="H143" t="s">
        <v>63</v>
      </c>
      <c r="I143" t="s">
        <v>67</v>
      </c>
      <c r="J143">
        <v>0</v>
      </c>
    </row>
    <row r="144" spans="1:10">
      <c r="A144">
        <v>143</v>
      </c>
      <c r="B144" t="s">
        <v>17</v>
      </c>
      <c r="C144" t="s">
        <v>18</v>
      </c>
      <c r="D144" t="s">
        <v>30</v>
      </c>
      <c r="E144" t="s">
        <v>48</v>
      </c>
      <c r="F144" t="s">
        <v>41</v>
      </c>
      <c r="G144" t="s">
        <v>64</v>
      </c>
      <c r="H144" t="s">
        <v>46</v>
      </c>
      <c r="I144" t="s">
        <v>41</v>
      </c>
      <c r="J144">
        <v>1</v>
      </c>
    </row>
    <row r="145" spans="1:10">
      <c r="A145">
        <v>144</v>
      </c>
      <c r="B145" t="s">
        <v>20</v>
      </c>
      <c r="C145" t="s">
        <v>21</v>
      </c>
      <c r="D145" t="s">
        <v>19</v>
      </c>
      <c r="E145" t="s">
        <v>42</v>
      </c>
      <c r="F145" t="s">
        <v>41</v>
      </c>
      <c r="G145" t="s">
        <v>64</v>
      </c>
      <c r="H145" t="s">
        <v>43</v>
      </c>
      <c r="I145" t="s">
        <v>52</v>
      </c>
      <c r="J145">
        <v>0</v>
      </c>
    </row>
    <row r="146" spans="1:10">
      <c r="A146">
        <v>145</v>
      </c>
      <c r="B146" t="s">
        <v>17</v>
      </c>
      <c r="C146" t="s">
        <v>18</v>
      </c>
      <c r="D146" t="s">
        <v>19</v>
      </c>
      <c r="E146" t="s">
        <v>58</v>
      </c>
      <c r="F146" t="s">
        <v>61</v>
      </c>
      <c r="G146" t="s">
        <v>65</v>
      </c>
      <c r="H146" t="s">
        <v>43</v>
      </c>
      <c r="I146" t="s">
        <v>52</v>
      </c>
      <c r="J146">
        <v>0</v>
      </c>
    </row>
    <row r="147" spans="1:10">
      <c r="A147">
        <v>146</v>
      </c>
      <c r="B147" t="s">
        <v>17</v>
      </c>
      <c r="C147" t="s">
        <v>18</v>
      </c>
      <c r="D147" t="s">
        <v>19</v>
      </c>
      <c r="E147" t="s">
        <v>48</v>
      </c>
      <c r="F147" t="s">
        <v>50</v>
      </c>
      <c r="G147" t="s">
        <v>49</v>
      </c>
      <c r="H147" t="s">
        <v>67</v>
      </c>
      <c r="I147" t="s">
        <v>59</v>
      </c>
      <c r="J147">
        <v>0</v>
      </c>
    </row>
    <row r="148" spans="1:10">
      <c r="A148">
        <v>147</v>
      </c>
      <c r="B148" t="s">
        <v>17</v>
      </c>
      <c r="C148" t="s">
        <v>18</v>
      </c>
      <c r="D148" t="s">
        <v>19</v>
      </c>
      <c r="E148" t="s">
        <v>40</v>
      </c>
      <c r="F148" t="s">
        <v>41</v>
      </c>
      <c r="G148" t="s">
        <v>41</v>
      </c>
      <c r="H148" t="s">
        <v>67</v>
      </c>
      <c r="I148" t="s">
        <v>41</v>
      </c>
      <c r="J148">
        <v>0</v>
      </c>
    </row>
    <row r="149" spans="1:10">
      <c r="A149">
        <v>148</v>
      </c>
      <c r="B149" t="s">
        <v>17</v>
      </c>
      <c r="C149" t="s">
        <v>18</v>
      </c>
      <c r="D149" t="s">
        <v>19</v>
      </c>
      <c r="E149" t="s">
        <v>40</v>
      </c>
      <c r="F149" t="s">
        <v>55</v>
      </c>
      <c r="G149" t="s">
        <v>41</v>
      </c>
      <c r="H149" t="s">
        <v>67</v>
      </c>
      <c r="I149" t="s">
        <v>62</v>
      </c>
      <c r="J149">
        <v>0</v>
      </c>
    </row>
    <row r="150" spans="1:10">
      <c r="A150">
        <v>149</v>
      </c>
      <c r="B150" t="s">
        <v>17</v>
      </c>
      <c r="C150" t="s">
        <v>18</v>
      </c>
      <c r="D150" t="s">
        <v>19</v>
      </c>
      <c r="E150" t="s">
        <v>45</v>
      </c>
      <c r="F150" t="s">
        <v>60</v>
      </c>
      <c r="G150" t="s">
        <v>41</v>
      </c>
      <c r="H150" t="s">
        <v>43</v>
      </c>
      <c r="I150" t="s">
        <v>59</v>
      </c>
      <c r="J150">
        <v>0</v>
      </c>
    </row>
    <row r="151" spans="1:10">
      <c r="A151">
        <v>150</v>
      </c>
      <c r="B151" t="s">
        <v>17</v>
      </c>
      <c r="C151" t="s">
        <v>18</v>
      </c>
      <c r="D151" t="s">
        <v>19</v>
      </c>
      <c r="E151" t="s">
        <v>48</v>
      </c>
      <c r="F151" t="s">
        <v>41</v>
      </c>
      <c r="G151" t="s">
        <v>41</v>
      </c>
      <c r="H151" t="s">
        <v>43</v>
      </c>
      <c r="I151" t="s">
        <v>52</v>
      </c>
      <c r="J151">
        <v>0</v>
      </c>
    </row>
    <row r="152" spans="1:10">
      <c r="A152">
        <v>151</v>
      </c>
      <c r="B152" t="s">
        <v>17</v>
      </c>
      <c r="C152" t="s">
        <v>18</v>
      </c>
      <c r="D152" t="s">
        <v>19</v>
      </c>
      <c r="E152" t="s">
        <v>45</v>
      </c>
      <c r="F152" t="s">
        <v>41</v>
      </c>
      <c r="G152" t="s">
        <v>56</v>
      </c>
      <c r="H152" t="s">
        <v>67</v>
      </c>
      <c r="I152" t="s">
        <v>54</v>
      </c>
      <c r="J152">
        <v>0</v>
      </c>
    </row>
    <row r="153" spans="1:10">
      <c r="A153">
        <v>152</v>
      </c>
      <c r="B153" t="s">
        <v>31</v>
      </c>
      <c r="C153" t="s">
        <v>18</v>
      </c>
      <c r="D153" t="s">
        <v>32</v>
      </c>
      <c r="E153" t="s">
        <v>40</v>
      </c>
      <c r="F153" t="s">
        <v>60</v>
      </c>
      <c r="G153" t="s">
        <v>49</v>
      </c>
      <c r="H153" t="s">
        <v>46</v>
      </c>
      <c r="I153" t="s">
        <v>67</v>
      </c>
      <c r="J153">
        <v>1</v>
      </c>
    </row>
    <row r="154" spans="1:10">
      <c r="A154">
        <v>153</v>
      </c>
      <c r="B154" t="s">
        <v>17</v>
      </c>
      <c r="C154" t="s">
        <v>18</v>
      </c>
      <c r="D154" t="s">
        <v>19</v>
      </c>
      <c r="E154" t="s">
        <v>40</v>
      </c>
      <c r="F154" t="s">
        <v>60</v>
      </c>
      <c r="G154" t="s">
        <v>49</v>
      </c>
      <c r="H154" t="s">
        <v>67</v>
      </c>
      <c r="I154" t="s">
        <v>62</v>
      </c>
      <c r="J154">
        <v>0</v>
      </c>
    </row>
    <row r="155" spans="1:10">
      <c r="A155">
        <v>154</v>
      </c>
      <c r="B155" t="s">
        <v>17</v>
      </c>
      <c r="C155" t="s">
        <v>18</v>
      </c>
      <c r="D155" t="s">
        <v>19</v>
      </c>
      <c r="E155" t="s">
        <v>45</v>
      </c>
      <c r="F155" t="s">
        <v>41</v>
      </c>
      <c r="G155" t="s">
        <v>49</v>
      </c>
      <c r="H155" t="s">
        <v>43</v>
      </c>
      <c r="I155" t="s">
        <v>41</v>
      </c>
      <c r="J155">
        <v>0</v>
      </c>
    </row>
    <row r="156" spans="1:10">
      <c r="A156">
        <v>155</v>
      </c>
      <c r="B156" t="s">
        <v>17</v>
      </c>
      <c r="C156" t="s">
        <v>18</v>
      </c>
      <c r="D156" t="s">
        <v>19</v>
      </c>
      <c r="E156" t="s">
        <v>45</v>
      </c>
      <c r="F156" t="s">
        <v>61</v>
      </c>
      <c r="G156" t="s">
        <v>64</v>
      </c>
      <c r="H156" t="s">
        <v>43</v>
      </c>
      <c r="I156" t="s">
        <v>62</v>
      </c>
      <c r="J156">
        <v>0</v>
      </c>
    </row>
    <row r="157" spans="1:10">
      <c r="A157">
        <v>156</v>
      </c>
      <c r="B157" t="s">
        <v>20</v>
      </c>
      <c r="C157" t="s">
        <v>18</v>
      </c>
      <c r="D157" t="s">
        <v>19</v>
      </c>
      <c r="E157" t="s">
        <v>40</v>
      </c>
      <c r="F157" t="s">
        <v>41</v>
      </c>
      <c r="G157" t="s">
        <v>56</v>
      </c>
      <c r="H157" t="s">
        <v>67</v>
      </c>
      <c r="I157" t="s">
        <v>41</v>
      </c>
      <c r="J157">
        <v>0</v>
      </c>
    </row>
    <row r="158" spans="1:10">
      <c r="A158">
        <v>157</v>
      </c>
      <c r="B158" t="s">
        <v>17</v>
      </c>
      <c r="C158" t="s">
        <v>21</v>
      </c>
      <c r="D158" t="s">
        <v>19</v>
      </c>
      <c r="E158" t="s">
        <v>45</v>
      </c>
      <c r="F158" t="s">
        <v>41</v>
      </c>
      <c r="G158" t="s">
        <v>56</v>
      </c>
      <c r="H158" t="s">
        <v>63</v>
      </c>
      <c r="I158" t="s">
        <v>47</v>
      </c>
      <c r="J158">
        <v>0</v>
      </c>
    </row>
    <row r="159" spans="1:10">
      <c r="A159">
        <v>158</v>
      </c>
      <c r="B159" t="s">
        <v>17</v>
      </c>
      <c r="C159" t="s">
        <v>18</v>
      </c>
      <c r="D159" t="s">
        <v>19</v>
      </c>
      <c r="E159" t="s">
        <v>48</v>
      </c>
      <c r="F159" t="s">
        <v>60</v>
      </c>
      <c r="G159" t="s">
        <v>41</v>
      </c>
      <c r="H159" t="s">
        <v>57</v>
      </c>
      <c r="I159" t="s">
        <v>52</v>
      </c>
      <c r="J159">
        <v>0</v>
      </c>
    </row>
    <row r="160" spans="1:10">
      <c r="A160">
        <v>159</v>
      </c>
      <c r="B160" t="s">
        <v>17</v>
      </c>
      <c r="C160" t="s">
        <v>18</v>
      </c>
      <c r="D160" t="s">
        <v>19</v>
      </c>
      <c r="E160" t="s">
        <v>42</v>
      </c>
      <c r="F160" t="s">
        <v>60</v>
      </c>
      <c r="G160" t="s">
        <v>56</v>
      </c>
      <c r="H160" t="s">
        <v>63</v>
      </c>
      <c r="I160" t="s">
        <v>62</v>
      </c>
      <c r="J160">
        <v>0</v>
      </c>
    </row>
    <row r="161" spans="1:10">
      <c r="A161">
        <v>160</v>
      </c>
      <c r="B161" t="s">
        <v>20</v>
      </c>
      <c r="C161" t="s">
        <v>21</v>
      </c>
      <c r="D161" t="s">
        <v>32</v>
      </c>
      <c r="E161" t="s">
        <v>58</v>
      </c>
      <c r="F161" t="s">
        <v>55</v>
      </c>
      <c r="G161" t="s">
        <v>65</v>
      </c>
      <c r="H161" t="s">
        <v>51</v>
      </c>
      <c r="I161" t="s">
        <v>52</v>
      </c>
      <c r="J161">
        <v>0</v>
      </c>
    </row>
    <row r="162" spans="1:10">
      <c r="A162">
        <v>161</v>
      </c>
      <c r="B162" t="s">
        <v>17</v>
      </c>
      <c r="C162" t="s">
        <v>18</v>
      </c>
      <c r="D162" t="s">
        <v>19</v>
      </c>
      <c r="E162" t="s">
        <v>58</v>
      </c>
      <c r="F162" t="s">
        <v>41</v>
      </c>
      <c r="G162" t="s">
        <v>41</v>
      </c>
      <c r="H162" t="s">
        <v>51</v>
      </c>
      <c r="I162" t="s">
        <v>47</v>
      </c>
      <c r="J162">
        <v>0</v>
      </c>
    </row>
    <row r="163" spans="1:10">
      <c r="A163">
        <v>162</v>
      </c>
      <c r="B163" t="s">
        <v>17</v>
      </c>
      <c r="C163" t="s">
        <v>23</v>
      </c>
      <c r="D163" t="s">
        <v>32</v>
      </c>
      <c r="E163" t="s">
        <v>45</v>
      </c>
      <c r="F163" t="s">
        <v>55</v>
      </c>
      <c r="G163" t="s">
        <v>41</v>
      </c>
      <c r="H163" t="s">
        <v>51</v>
      </c>
      <c r="I163" t="s">
        <v>53</v>
      </c>
      <c r="J163">
        <v>0</v>
      </c>
    </row>
    <row r="164" spans="1:10">
      <c r="A164">
        <v>163</v>
      </c>
      <c r="B164" t="s">
        <v>36</v>
      </c>
      <c r="C164" t="s">
        <v>67</v>
      </c>
      <c r="D164" t="s">
        <v>26</v>
      </c>
      <c r="E164" t="s">
        <v>40</v>
      </c>
      <c r="F164" t="s">
        <v>60</v>
      </c>
      <c r="G164" t="s">
        <v>41</v>
      </c>
      <c r="H164" t="s">
        <v>67</v>
      </c>
      <c r="I164" t="s">
        <v>67</v>
      </c>
      <c r="J164">
        <v>0</v>
      </c>
    </row>
    <row r="165" spans="1:10">
      <c r="A165">
        <v>164</v>
      </c>
      <c r="B165" t="s">
        <v>36</v>
      </c>
      <c r="C165" t="s">
        <v>67</v>
      </c>
      <c r="D165" t="s">
        <v>19</v>
      </c>
      <c r="E165" t="s">
        <v>42</v>
      </c>
      <c r="F165" t="s">
        <v>61</v>
      </c>
      <c r="G165" t="s">
        <v>65</v>
      </c>
      <c r="H165" t="s">
        <v>67</v>
      </c>
      <c r="I165" t="s">
        <v>62</v>
      </c>
      <c r="J165">
        <v>0</v>
      </c>
    </row>
    <row r="166" spans="1:10">
      <c r="A166">
        <v>165</v>
      </c>
      <c r="B166" t="s">
        <v>36</v>
      </c>
      <c r="C166" t="s">
        <v>67</v>
      </c>
      <c r="D166" t="s">
        <v>24</v>
      </c>
      <c r="E166" t="s">
        <v>48</v>
      </c>
      <c r="F166" t="s">
        <v>61</v>
      </c>
      <c r="G166" t="s">
        <v>41</v>
      </c>
      <c r="H166" t="s">
        <v>67</v>
      </c>
      <c r="I166" t="s">
        <v>59</v>
      </c>
      <c r="J166">
        <v>0</v>
      </c>
    </row>
    <row r="167" spans="1:10">
      <c r="A167">
        <v>166</v>
      </c>
      <c r="B167" t="s">
        <v>36</v>
      </c>
      <c r="C167" t="s">
        <v>67</v>
      </c>
      <c r="D167" t="s">
        <v>19</v>
      </c>
      <c r="E167" t="s">
        <v>40</v>
      </c>
      <c r="F167" t="s">
        <v>41</v>
      </c>
      <c r="G167" t="s">
        <v>41</v>
      </c>
      <c r="H167" t="s">
        <v>67</v>
      </c>
      <c r="I167" t="s">
        <v>44</v>
      </c>
      <c r="J167">
        <v>0</v>
      </c>
    </row>
    <row r="168" spans="1:10">
      <c r="A168">
        <v>167</v>
      </c>
      <c r="B168" t="s">
        <v>36</v>
      </c>
      <c r="C168" t="s">
        <v>67</v>
      </c>
      <c r="D168" t="s">
        <v>19</v>
      </c>
      <c r="E168" t="s">
        <v>45</v>
      </c>
      <c r="F168" t="s">
        <v>60</v>
      </c>
      <c r="G168" t="s">
        <v>49</v>
      </c>
      <c r="H168" t="s">
        <v>67</v>
      </c>
      <c r="I168" t="s">
        <v>59</v>
      </c>
      <c r="J168">
        <v>0</v>
      </c>
    </row>
    <row r="169" spans="1:10">
      <c r="A169">
        <v>168</v>
      </c>
      <c r="B169" t="s">
        <v>37</v>
      </c>
      <c r="C169" t="s">
        <v>67</v>
      </c>
      <c r="D169" t="s">
        <v>24</v>
      </c>
      <c r="E169" t="s">
        <v>45</v>
      </c>
      <c r="F169" t="s">
        <v>41</v>
      </c>
      <c r="G169" t="s">
        <v>49</v>
      </c>
      <c r="H169" t="s">
        <v>67</v>
      </c>
      <c r="I169" t="s">
        <v>41</v>
      </c>
      <c r="J169">
        <v>0</v>
      </c>
    </row>
    <row r="170" spans="1:10">
      <c r="A170">
        <v>169</v>
      </c>
      <c r="B170" t="s">
        <v>36</v>
      </c>
      <c r="C170" t="s">
        <v>67</v>
      </c>
      <c r="D170" t="s">
        <v>27</v>
      </c>
      <c r="E170" t="s">
        <v>45</v>
      </c>
      <c r="F170" t="s">
        <v>60</v>
      </c>
      <c r="G170" t="s">
        <v>56</v>
      </c>
      <c r="H170" t="s">
        <v>67</v>
      </c>
      <c r="I170" t="s">
        <v>52</v>
      </c>
      <c r="J170">
        <v>0</v>
      </c>
    </row>
    <row r="171" spans="1:10">
      <c r="A171">
        <v>170</v>
      </c>
      <c r="B171" t="s">
        <v>36</v>
      </c>
      <c r="C171" t="s">
        <v>67</v>
      </c>
      <c r="D171" t="s">
        <v>24</v>
      </c>
      <c r="E171" t="s">
        <v>48</v>
      </c>
      <c r="F171" t="s">
        <v>41</v>
      </c>
      <c r="G171" t="s">
        <v>64</v>
      </c>
      <c r="H171" t="s">
        <v>67</v>
      </c>
      <c r="I171" t="s">
        <v>67</v>
      </c>
      <c r="J171">
        <v>1</v>
      </c>
    </row>
    <row r="172" spans="1:10">
      <c r="A172">
        <v>171</v>
      </c>
      <c r="B172" t="s">
        <v>17</v>
      </c>
      <c r="C172" t="s">
        <v>18</v>
      </c>
      <c r="D172" t="s">
        <v>19</v>
      </c>
      <c r="E172" t="s">
        <v>42</v>
      </c>
      <c r="F172" t="s">
        <v>41</v>
      </c>
      <c r="G172" t="s">
        <v>41</v>
      </c>
      <c r="H172" t="s">
        <v>67</v>
      </c>
      <c r="I172" t="s">
        <v>44</v>
      </c>
      <c r="J172">
        <v>0</v>
      </c>
    </row>
    <row r="173" spans="1:10">
      <c r="A173">
        <v>172</v>
      </c>
      <c r="B173" t="s">
        <v>36</v>
      </c>
      <c r="C173" t="s">
        <v>67</v>
      </c>
      <c r="D173" t="s">
        <v>24</v>
      </c>
      <c r="E173" t="s">
        <v>48</v>
      </c>
      <c r="F173" t="s">
        <v>41</v>
      </c>
      <c r="G173" t="s">
        <v>49</v>
      </c>
      <c r="H173" t="s">
        <v>67</v>
      </c>
      <c r="I173" t="s">
        <v>47</v>
      </c>
      <c r="J173">
        <v>0</v>
      </c>
    </row>
    <row r="174" spans="1:10">
      <c r="A174">
        <v>173</v>
      </c>
      <c r="B174" t="s">
        <v>36</v>
      </c>
      <c r="C174" t="s">
        <v>67</v>
      </c>
      <c r="D174" t="s">
        <v>38</v>
      </c>
      <c r="E174" t="s">
        <v>48</v>
      </c>
      <c r="F174" t="s">
        <v>55</v>
      </c>
      <c r="G174" t="s">
        <v>41</v>
      </c>
      <c r="H174" t="s">
        <v>67</v>
      </c>
      <c r="I174" t="s">
        <v>47</v>
      </c>
      <c r="J174">
        <v>1</v>
      </c>
    </row>
    <row r="175" spans="1:10">
      <c r="A175">
        <v>174</v>
      </c>
      <c r="B175" t="s">
        <v>36</v>
      </c>
      <c r="C175" t="s">
        <v>67</v>
      </c>
      <c r="D175" t="s">
        <v>39</v>
      </c>
      <c r="E175" t="s">
        <v>45</v>
      </c>
      <c r="F175" t="s">
        <v>41</v>
      </c>
      <c r="G175" t="s">
        <v>65</v>
      </c>
      <c r="H175" t="s">
        <v>67</v>
      </c>
      <c r="I175" t="s">
        <v>52</v>
      </c>
      <c r="J175">
        <v>0</v>
      </c>
    </row>
    <row r="176" spans="1:10">
      <c r="A176">
        <v>175</v>
      </c>
      <c r="B176" t="s">
        <v>36</v>
      </c>
      <c r="C176" t="s">
        <v>67</v>
      </c>
      <c r="D176" t="s">
        <v>26</v>
      </c>
      <c r="E176" t="s">
        <v>45</v>
      </c>
      <c r="F176" t="s">
        <v>41</v>
      </c>
      <c r="G176" t="s">
        <v>49</v>
      </c>
      <c r="H176" t="s">
        <v>67</v>
      </c>
      <c r="I176" t="s">
        <v>47</v>
      </c>
      <c r="J176">
        <v>0</v>
      </c>
    </row>
    <row r="177" spans="1:10">
      <c r="A177">
        <v>176</v>
      </c>
      <c r="B177" t="s">
        <v>36</v>
      </c>
      <c r="C177" t="s">
        <v>67</v>
      </c>
      <c r="D177" t="s">
        <v>39</v>
      </c>
      <c r="E177" t="s">
        <v>48</v>
      </c>
      <c r="F177" t="s">
        <v>61</v>
      </c>
      <c r="G177" t="s">
        <v>41</v>
      </c>
      <c r="H177" t="s">
        <v>67</v>
      </c>
      <c r="I177" t="s">
        <v>67</v>
      </c>
      <c r="J177">
        <v>0</v>
      </c>
    </row>
    <row r="178" spans="1:10">
      <c r="A178">
        <v>177</v>
      </c>
      <c r="B178" t="s">
        <v>36</v>
      </c>
      <c r="C178" t="s">
        <v>67</v>
      </c>
      <c r="D178" t="s">
        <v>26</v>
      </c>
      <c r="E178" t="s">
        <v>40</v>
      </c>
      <c r="F178" t="s">
        <v>41</v>
      </c>
      <c r="G178" t="s">
        <v>65</v>
      </c>
      <c r="H178" t="s">
        <v>67</v>
      </c>
      <c r="I178" t="s">
        <v>41</v>
      </c>
      <c r="J178">
        <v>0</v>
      </c>
    </row>
    <row r="179" spans="1:10">
      <c r="A179">
        <v>178</v>
      </c>
      <c r="B179" t="s">
        <v>36</v>
      </c>
      <c r="C179" t="s">
        <v>67</v>
      </c>
      <c r="D179" t="s">
        <v>19</v>
      </c>
      <c r="E179" t="s">
        <v>58</v>
      </c>
      <c r="F179" t="s">
        <v>61</v>
      </c>
      <c r="G179" t="s">
        <v>65</v>
      </c>
      <c r="H179" t="s">
        <v>67</v>
      </c>
      <c r="I179" t="s">
        <v>52</v>
      </c>
      <c r="J179">
        <v>0</v>
      </c>
    </row>
    <row r="180" spans="1:10">
      <c r="A180">
        <v>179</v>
      </c>
      <c r="B180" t="s">
        <v>36</v>
      </c>
      <c r="C180" t="s">
        <v>67</v>
      </c>
      <c r="D180" t="s">
        <v>39</v>
      </c>
      <c r="E180" t="s">
        <v>45</v>
      </c>
      <c r="F180" t="s">
        <v>60</v>
      </c>
      <c r="G180" t="s">
        <v>56</v>
      </c>
      <c r="H180" t="s">
        <v>67</v>
      </c>
      <c r="I180" t="s">
        <v>59</v>
      </c>
      <c r="J180">
        <v>0</v>
      </c>
    </row>
    <row r="181" spans="1:10">
      <c r="A181">
        <v>180</v>
      </c>
      <c r="B181" t="s">
        <v>36</v>
      </c>
      <c r="C181" t="s">
        <v>67</v>
      </c>
      <c r="D181" t="s">
        <v>19</v>
      </c>
      <c r="E181" t="s">
        <v>42</v>
      </c>
      <c r="F181" t="s">
        <v>41</v>
      </c>
      <c r="G181" t="s">
        <v>64</v>
      </c>
      <c r="H181" t="s">
        <v>67</v>
      </c>
      <c r="I181" t="s">
        <v>44</v>
      </c>
      <c r="J181">
        <v>0</v>
      </c>
    </row>
    <row r="182" spans="1:10">
      <c r="A182">
        <v>181</v>
      </c>
      <c r="B182" t="s">
        <v>36</v>
      </c>
      <c r="C182" t="s">
        <v>67</v>
      </c>
      <c r="D182" t="s">
        <v>19</v>
      </c>
      <c r="E182" t="s">
        <v>45</v>
      </c>
      <c r="F182" t="s">
        <v>41</v>
      </c>
      <c r="G182" t="s">
        <v>65</v>
      </c>
      <c r="H182" t="s">
        <v>67</v>
      </c>
      <c r="I182" t="s">
        <v>53</v>
      </c>
      <c r="J182">
        <v>1</v>
      </c>
    </row>
    <row r="183" spans="1:10">
      <c r="A183">
        <v>182</v>
      </c>
      <c r="B183" t="s">
        <v>37</v>
      </c>
      <c r="C183" t="s">
        <v>67</v>
      </c>
      <c r="D183" t="s">
        <v>38</v>
      </c>
      <c r="E183" t="s">
        <v>45</v>
      </c>
      <c r="F183" t="s">
        <v>41</v>
      </c>
      <c r="G183" t="s">
        <v>65</v>
      </c>
      <c r="H183" t="s">
        <v>67</v>
      </c>
      <c r="I183" t="s">
        <v>47</v>
      </c>
      <c r="J183">
        <v>0</v>
      </c>
    </row>
    <row r="184" spans="1:10">
      <c r="A184">
        <v>183</v>
      </c>
      <c r="B184" t="s">
        <v>36</v>
      </c>
      <c r="C184" t="s">
        <v>67</v>
      </c>
      <c r="D184" t="s">
        <v>19</v>
      </c>
      <c r="E184" t="s">
        <v>40</v>
      </c>
      <c r="F184" t="s">
        <v>67</v>
      </c>
      <c r="G184" t="s">
        <v>67</v>
      </c>
      <c r="H184" t="s">
        <v>67</v>
      </c>
      <c r="I184" t="s">
        <v>41</v>
      </c>
      <c r="J184">
        <v>0</v>
      </c>
    </row>
    <row r="185" spans="1:10">
      <c r="A185">
        <v>184</v>
      </c>
      <c r="B185" t="s">
        <v>36</v>
      </c>
      <c r="C185" t="s">
        <v>67</v>
      </c>
      <c r="D185" t="s">
        <v>19</v>
      </c>
      <c r="E185" t="s">
        <v>40</v>
      </c>
      <c r="F185" t="s">
        <v>41</v>
      </c>
      <c r="G185" t="s">
        <v>41</v>
      </c>
      <c r="H185" t="s">
        <v>67</v>
      </c>
      <c r="I185" t="s">
        <v>41</v>
      </c>
      <c r="J185">
        <v>0</v>
      </c>
    </row>
    <row r="186" spans="1:10">
      <c r="A186">
        <v>185</v>
      </c>
      <c r="B186" t="s">
        <v>36</v>
      </c>
      <c r="C186" t="s">
        <v>67</v>
      </c>
      <c r="D186" t="s">
        <v>19</v>
      </c>
      <c r="E186" t="s">
        <v>67</v>
      </c>
      <c r="F186" t="s">
        <v>67</v>
      </c>
      <c r="G186" t="s">
        <v>41</v>
      </c>
      <c r="H186" t="s">
        <v>67</v>
      </c>
      <c r="I186" t="s">
        <v>41</v>
      </c>
      <c r="J186">
        <v>0</v>
      </c>
    </row>
    <row r="187" spans="1:10">
      <c r="A187">
        <v>186</v>
      </c>
      <c r="B187" t="s">
        <v>36</v>
      </c>
      <c r="C187" t="s">
        <v>67</v>
      </c>
      <c r="D187" t="s">
        <v>19</v>
      </c>
      <c r="E187" t="s">
        <v>48</v>
      </c>
      <c r="F187" t="s">
        <v>41</v>
      </c>
      <c r="G187" t="s">
        <v>41</v>
      </c>
      <c r="H187" t="s">
        <v>67</v>
      </c>
      <c r="I187" t="s">
        <v>41</v>
      </c>
      <c r="J187">
        <v>0</v>
      </c>
    </row>
    <row r="188" spans="1:10">
      <c r="A188">
        <v>187</v>
      </c>
      <c r="B188" t="s">
        <v>36</v>
      </c>
      <c r="C188" t="s">
        <v>67</v>
      </c>
      <c r="D188" t="s">
        <v>19</v>
      </c>
      <c r="E188" t="s">
        <v>48</v>
      </c>
      <c r="F188" t="s">
        <v>41</v>
      </c>
      <c r="G188" t="s">
        <v>41</v>
      </c>
      <c r="H188" t="s">
        <v>67</v>
      </c>
      <c r="I188" t="s">
        <v>54</v>
      </c>
      <c r="J188">
        <v>0</v>
      </c>
    </row>
    <row r="189" spans="1:10">
      <c r="A189">
        <v>188</v>
      </c>
      <c r="B189" t="s">
        <v>36</v>
      </c>
      <c r="C189" t="s">
        <v>67</v>
      </c>
      <c r="D189" t="s">
        <v>19</v>
      </c>
      <c r="E189" t="s">
        <v>45</v>
      </c>
      <c r="F189" t="s">
        <v>41</v>
      </c>
      <c r="G189" t="s">
        <v>41</v>
      </c>
      <c r="H189" t="s">
        <v>67</v>
      </c>
      <c r="I189" t="s">
        <v>47</v>
      </c>
      <c r="J189">
        <v>0</v>
      </c>
    </row>
    <row r="190" spans="1:10">
      <c r="A190">
        <v>189</v>
      </c>
      <c r="B190" t="s">
        <v>36</v>
      </c>
      <c r="C190" t="s">
        <v>67</v>
      </c>
      <c r="D190" t="s">
        <v>19</v>
      </c>
      <c r="E190" t="s">
        <v>40</v>
      </c>
      <c r="F190" t="s">
        <v>55</v>
      </c>
      <c r="G190" t="s">
        <v>65</v>
      </c>
      <c r="H190" t="s">
        <v>67</v>
      </c>
      <c r="I190" t="s">
        <v>52</v>
      </c>
      <c r="J190">
        <v>0</v>
      </c>
    </row>
    <row r="191" spans="1:10">
      <c r="A191">
        <v>190</v>
      </c>
      <c r="B191" t="s">
        <v>36</v>
      </c>
      <c r="C191" t="s">
        <v>67</v>
      </c>
      <c r="D191" t="s">
        <v>19</v>
      </c>
      <c r="E191" t="s">
        <v>58</v>
      </c>
      <c r="F191" t="s">
        <v>41</v>
      </c>
      <c r="G191" t="s">
        <v>67</v>
      </c>
      <c r="H191" t="s">
        <v>67</v>
      </c>
      <c r="I191" t="s">
        <v>41</v>
      </c>
      <c r="J191">
        <v>0</v>
      </c>
    </row>
    <row r="192" spans="1:10">
      <c r="A192">
        <v>191</v>
      </c>
      <c r="B192" t="s">
        <v>37</v>
      </c>
      <c r="C192" t="s">
        <v>67</v>
      </c>
      <c r="D192" t="s">
        <v>32</v>
      </c>
      <c r="E192" t="s">
        <v>58</v>
      </c>
      <c r="F192" t="s">
        <v>55</v>
      </c>
      <c r="G192" t="s">
        <v>65</v>
      </c>
      <c r="H192" t="s">
        <v>67</v>
      </c>
      <c r="I192" t="s">
        <v>52</v>
      </c>
      <c r="J192">
        <v>0</v>
      </c>
    </row>
    <row r="193" spans="1:10">
      <c r="A193">
        <v>192</v>
      </c>
      <c r="B193" t="s">
        <v>36</v>
      </c>
      <c r="C193" t="s">
        <v>67</v>
      </c>
      <c r="D193" t="s">
        <v>39</v>
      </c>
      <c r="E193" t="s">
        <v>67</v>
      </c>
      <c r="F193" t="s">
        <v>60</v>
      </c>
      <c r="G193" t="s">
        <v>41</v>
      </c>
      <c r="H193" t="s">
        <v>67</v>
      </c>
      <c r="I193" t="s">
        <v>67</v>
      </c>
      <c r="J193">
        <v>0</v>
      </c>
    </row>
    <row r="194" spans="1:10">
      <c r="A194">
        <v>193</v>
      </c>
      <c r="B194" t="s">
        <v>36</v>
      </c>
      <c r="C194" t="s">
        <v>67</v>
      </c>
      <c r="D194" t="s">
        <v>19</v>
      </c>
      <c r="E194" t="s">
        <v>48</v>
      </c>
      <c r="F194" t="s">
        <v>41</v>
      </c>
      <c r="G194" t="s">
        <v>49</v>
      </c>
      <c r="H194" t="s">
        <v>67</v>
      </c>
      <c r="I194" t="s">
        <v>53</v>
      </c>
      <c r="J194">
        <v>0</v>
      </c>
    </row>
    <row r="195" spans="1:10">
      <c r="A195">
        <v>194</v>
      </c>
      <c r="B195" t="s">
        <v>36</v>
      </c>
      <c r="C195" t="s">
        <v>67</v>
      </c>
      <c r="D195" t="s">
        <v>19</v>
      </c>
      <c r="E195" t="s">
        <v>45</v>
      </c>
      <c r="F195" t="s">
        <v>55</v>
      </c>
      <c r="G195" t="s">
        <v>65</v>
      </c>
      <c r="H195" t="s">
        <v>67</v>
      </c>
      <c r="I195" t="s">
        <v>52</v>
      </c>
      <c r="J195">
        <v>0</v>
      </c>
    </row>
    <row r="196" spans="1:10">
      <c r="A196">
        <v>195</v>
      </c>
      <c r="B196" t="s">
        <v>36</v>
      </c>
      <c r="C196" t="s">
        <v>67</v>
      </c>
      <c r="D196" t="s">
        <v>19</v>
      </c>
      <c r="E196" t="s">
        <v>45</v>
      </c>
      <c r="F196" t="s">
        <v>61</v>
      </c>
      <c r="G196" t="s">
        <v>41</v>
      </c>
      <c r="H196" t="s">
        <v>67</v>
      </c>
      <c r="I196" t="s">
        <v>52</v>
      </c>
      <c r="J196">
        <v>0</v>
      </c>
    </row>
    <row r="197" spans="1:10">
      <c r="A197">
        <v>196</v>
      </c>
      <c r="B197" t="s">
        <v>36</v>
      </c>
      <c r="C197" t="s">
        <v>67</v>
      </c>
      <c r="D197" t="s">
        <v>26</v>
      </c>
      <c r="E197" t="s">
        <v>48</v>
      </c>
      <c r="F197" t="s">
        <v>55</v>
      </c>
      <c r="G197" t="s">
        <v>64</v>
      </c>
      <c r="H197" t="s">
        <v>67</v>
      </c>
      <c r="I197" t="s">
        <v>53</v>
      </c>
      <c r="J197">
        <v>0</v>
      </c>
    </row>
    <row r="198" spans="1:10">
      <c r="A198">
        <v>197</v>
      </c>
      <c r="B198" t="s">
        <v>36</v>
      </c>
      <c r="C198" t="s">
        <v>67</v>
      </c>
      <c r="D198" t="s">
        <v>19</v>
      </c>
      <c r="E198" t="s">
        <v>67</v>
      </c>
      <c r="F198" t="s">
        <v>41</v>
      </c>
      <c r="G198" t="s">
        <v>64</v>
      </c>
      <c r="H198" t="s">
        <v>67</v>
      </c>
      <c r="I198" t="s">
        <v>67</v>
      </c>
      <c r="J198">
        <v>1</v>
      </c>
    </row>
    <row r="199" spans="1:10">
      <c r="A199">
        <v>198</v>
      </c>
      <c r="B199" t="s">
        <v>36</v>
      </c>
      <c r="C199" t="s">
        <v>67</v>
      </c>
      <c r="D199" t="s">
        <v>19</v>
      </c>
      <c r="E199" t="s">
        <v>48</v>
      </c>
      <c r="F199" t="s">
        <v>61</v>
      </c>
      <c r="G199" t="s">
        <v>41</v>
      </c>
      <c r="H199" t="s">
        <v>67</v>
      </c>
      <c r="I199" t="s">
        <v>67</v>
      </c>
      <c r="J199">
        <v>0</v>
      </c>
    </row>
    <row r="200" spans="1:10">
      <c r="A200">
        <v>199</v>
      </c>
      <c r="B200" t="s">
        <v>36</v>
      </c>
      <c r="C200" t="s">
        <v>67</v>
      </c>
      <c r="D200" t="s">
        <v>26</v>
      </c>
      <c r="E200" t="s">
        <v>42</v>
      </c>
      <c r="F200" t="s">
        <v>61</v>
      </c>
      <c r="G200" t="s">
        <v>41</v>
      </c>
      <c r="H200" t="s">
        <v>67</v>
      </c>
      <c r="I200" t="s">
        <v>54</v>
      </c>
      <c r="J200">
        <v>0</v>
      </c>
    </row>
    <row r="201" spans="1:10">
      <c r="A201">
        <v>200</v>
      </c>
      <c r="B201" t="s">
        <v>29</v>
      </c>
      <c r="C201" t="s">
        <v>67</v>
      </c>
      <c r="D201" t="s">
        <v>29</v>
      </c>
      <c r="E201" t="s">
        <v>45</v>
      </c>
      <c r="F201" t="s">
        <v>50</v>
      </c>
      <c r="G201" t="s">
        <v>64</v>
      </c>
      <c r="H201" t="s">
        <v>67</v>
      </c>
      <c r="I201" t="s">
        <v>52</v>
      </c>
      <c r="J201">
        <v>0</v>
      </c>
    </row>
    <row r="202" spans="1:10">
      <c r="A202">
        <v>201</v>
      </c>
      <c r="B202" t="s">
        <v>36</v>
      </c>
      <c r="C202" t="s">
        <v>67</v>
      </c>
      <c r="D202" t="s">
        <v>19</v>
      </c>
      <c r="E202" t="s">
        <v>58</v>
      </c>
      <c r="F202" t="s">
        <v>67</v>
      </c>
      <c r="G202" t="s">
        <v>67</v>
      </c>
      <c r="H202" t="s">
        <v>67</v>
      </c>
      <c r="I202" t="s">
        <v>41</v>
      </c>
      <c r="J202">
        <v>0</v>
      </c>
    </row>
    <row r="203" spans="1:10">
      <c r="A203">
        <v>202</v>
      </c>
      <c r="B203" t="s">
        <v>36</v>
      </c>
      <c r="C203" t="s">
        <v>67</v>
      </c>
      <c r="D203" t="s">
        <v>19</v>
      </c>
      <c r="E203" t="s">
        <v>48</v>
      </c>
      <c r="F203" t="s">
        <v>55</v>
      </c>
      <c r="G203" t="s">
        <v>67</v>
      </c>
      <c r="H203" t="s">
        <v>67</v>
      </c>
      <c r="I203" t="s">
        <v>52</v>
      </c>
      <c r="J203">
        <v>0</v>
      </c>
    </row>
    <row r="204" spans="1:10">
      <c r="A204">
        <v>203</v>
      </c>
      <c r="B204" t="s">
        <v>36</v>
      </c>
      <c r="C204" t="s">
        <v>67</v>
      </c>
      <c r="D204" t="s">
        <v>19</v>
      </c>
      <c r="E204" t="s">
        <v>48</v>
      </c>
      <c r="F204" t="s">
        <v>61</v>
      </c>
      <c r="G204" t="s">
        <v>65</v>
      </c>
      <c r="H204" t="s">
        <v>67</v>
      </c>
      <c r="I204" t="s">
        <v>52</v>
      </c>
      <c r="J204">
        <v>0</v>
      </c>
    </row>
    <row r="205" spans="1:10">
      <c r="A205">
        <v>204</v>
      </c>
      <c r="B205" t="s">
        <v>36</v>
      </c>
      <c r="C205" t="s">
        <v>67</v>
      </c>
      <c r="D205" t="s">
        <v>19</v>
      </c>
      <c r="E205" t="s">
        <v>67</v>
      </c>
      <c r="F205" t="s">
        <v>67</v>
      </c>
      <c r="G205" t="s">
        <v>67</v>
      </c>
      <c r="H205" t="s">
        <v>67</v>
      </c>
      <c r="I205" t="s">
        <v>67</v>
      </c>
      <c r="J205">
        <v>0</v>
      </c>
    </row>
    <row r="206" spans="1:10">
      <c r="A206">
        <v>205</v>
      </c>
      <c r="B206" t="s">
        <v>36</v>
      </c>
      <c r="C206" t="s">
        <v>67</v>
      </c>
      <c r="D206" t="s">
        <v>19</v>
      </c>
      <c r="E206" t="s">
        <v>40</v>
      </c>
      <c r="F206" t="s">
        <v>41</v>
      </c>
      <c r="G206" t="s">
        <v>41</v>
      </c>
      <c r="H206" t="s">
        <v>67</v>
      </c>
      <c r="I206" t="s">
        <v>41</v>
      </c>
      <c r="J206">
        <v>0</v>
      </c>
    </row>
    <row r="207" spans="1:10">
      <c r="A207">
        <v>206</v>
      </c>
      <c r="B207" t="s">
        <v>36</v>
      </c>
      <c r="C207" t="s">
        <v>67</v>
      </c>
      <c r="D207" t="s">
        <v>26</v>
      </c>
      <c r="E207" t="s">
        <v>45</v>
      </c>
      <c r="F207" t="s">
        <v>41</v>
      </c>
      <c r="G207" t="s">
        <v>49</v>
      </c>
      <c r="H207" t="s">
        <v>67</v>
      </c>
      <c r="I207" t="s">
        <v>52</v>
      </c>
      <c r="J207">
        <v>0</v>
      </c>
    </row>
    <row r="208" spans="1:10">
      <c r="A208">
        <v>207</v>
      </c>
      <c r="B208" t="s">
        <v>36</v>
      </c>
      <c r="C208" t="s">
        <v>67</v>
      </c>
      <c r="D208" t="s">
        <v>19</v>
      </c>
      <c r="E208" t="s">
        <v>45</v>
      </c>
      <c r="F208" t="s">
        <v>41</v>
      </c>
      <c r="G208" t="s">
        <v>41</v>
      </c>
      <c r="H208" t="s">
        <v>67</v>
      </c>
      <c r="I208" t="s">
        <v>62</v>
      </c>
      <c r="J208">
        <v>0</v>
      </c>
    </row>
    <row r="209" spans="1:10">
      <c r="A209">
        <v>208</v>
      </c>
      <c r="B209" t="s">
        <v>36</v>
      </c>
      <c r="C209" t="s">
        <v>67</v>
      </c>
      <c r="D209" t="s">
        <v>26</v>
      </c>
      <c r="E209" t="s">
        <v>45</v>
      </c>
      <c r="F209" t="s">
        <v>55</v>
      </c>
      <c r="G209" t="s">
        <v>41</v>
      </c>
      <c r="H209" t="s">
        <v>67</v>
      </c>
      <c r="I209" t="s">
        <v>53</v>
      </c>
      <c r="J209">
        <v>0</v>
      </c>
    </row>
    <row r="210" spans="1:10">
      <c r="A210">
        <v>209</v>
      </c>
      <c r="B210" t="s">
        <v>36</v>
      </c>
      <c r="C210" t="s">
        <v>67</v>
      </c>
      <c r="D210" t="s">
        <v>19</v>
      </c>
      <c r="E210" t="s">
        <v>45</v>
      </c>
      <c r="F210" t="s">
        <v>55</v>
      </c>
      <c r="G210" t="s">
        <v>56</v>
      </c>
      <c r="H210" t="s">
        <v>67</v>
      </c>
      <c r="I210" t="s">
        <v>52</v>
      </c>
      <c r="J210">
        <v>0</v>
      </c>
    </row>
    <row r="211" spans="1:10">
      <c r="A211">
        <v>210</v>
      </c>
      <c r="B211" t="s">
        <v>36</v>
      </c>
      <c r="C211" t="s">
        <v>67</v>
      </c>
      <c r="D211" t="s">
        <v>19</v>
      </c>
      <c r="E211" t="s">
        <v>40</v>
      </c>
      <c r="F211" t="s">
        <v>41</v>
      </c>
      <c r="G211" t="s">
        <v>41</v>
      </c>
      <c r="H211" t="s">
        <v>67</v>
      </c>
      <c r="I211" t="s">
        <v>67</v>
      </c>
      <c r="J211">
        <v>0</v>
      </c>
    </row>
    <row r="212" spans="1:10">
      <c r="A212">
        <v>211</v>
      </c>
      <c r="B212" t="s">
        <v>36</v>
      </c>
      <c r="C212" t="s">
        <v>67</v>
      </c>
      <c r="D212" t="s">
        <v>19</v>
      </c>
      <c r="E212" t="s">
        <v>48</v>
      </c>
      <c r="F212" t="s">
        <v>41</v>
      </c>
      <c r="G212" t="s">
        <v>65</v>
      </c>
      <c r="H212" t="s">
        <v>67</v>
      </c>
      <c r="I212" t="s">
        <v>62</v>
      </c>
      <c r="J212">
        <v>0</v>
      </c>
    </row>
    <row r="213" spans="1:10">
      <c r="A213">
        <v>212</v>
      </c>
      <c r="B213" t="s">
        <v>36</v>
      </c>
      <c r="C213" t="s">
        <v>67</v>
      </c>
      <c r="D213" t="s">
        <v>19</v>
      </c>
      <c r="E213" t="s">
        <v>45</v>
      </c>
      <c r="F213" t="s">
        <v>41</v>
      </c>
      <c r="G213" t="s">
        <v>41</v>
      </c>
      <c r="H213" t="s">
        <v>67</v>
      </c>
      <c r="I213" t="s">
        <v>47</v>
      </c>
      <c r="J213">
        <v>0</v>
      </c>
    </row>
    <row r="214" spans="1:10">
      <c r="A214">
        <v>213</v>
      </c>
      <c r="B214" t="s">
        <v>36</v>
      </c>
      <c r="C214" t="s">
        <v>67</v>
      </c>
      <c r="D214" t="s">
        <v>26</v>
      </c>
      <c r="E214" t="s">
        <v>42</v>
      </c>
      <c r="F214" t="s">
        <v>61</v>
      </c>
      <c r="G214" t="s">
        <v>49</v>
      </c>
      <c r="H214" t="s">
        <v>67</v>
      </c>
      <c r="I214" t="s">
        <v>47</v>
      </c>
      <c r="J214">
        <v>0</v>
      </c>
    </row>
    <row r="215" spans="1:10">
      <c r="A215">
        <v>214</v>
      </c>
      <c r="B215" t="s">
        <v>36</v>
      </c>
      <c r="C215" t="s">
        <v>67</v>
      </c>
      <c r="D215" t="s">
        <v>19</v>
      </c>
      <c r="E215" t="s">
        <v>40</v>
      </c>
      <c r="F215" t="s">
        <v>41</v>
      </c>
      <c r="G215" t="s">
        <v>49</v>
      </c>
      <c r="H215" t="s">
        <v>67</v>
      </c>
      <c r="I215" t="s">
        <v>41</v>
      </c>
      <c r="J215">
        <v>0</v>
      </c>
    </row>
    <row r="216" spans="1:10">
      <c r="A216">
        <v>215</v>
      </c>
      <c r="B216" t="s">
        <v>36</v>
      </c>
      <c r="C216" t="s">
        <v>67</v>
      </c>
      <c r="D216" t="s">
        <v>19</v>
      </c>
      <c r="E216" t="s">
        <v>48</v>
      </c>
      <c r="F216" t="s">
        <v>55</v>
      </c>
      <c r="G216" t="s">
        <v>41</v>
      </c>
      <c r="H216" t="s">
        <v>67</v>
      </c>
      <c r="I216" t="s">
        <v>67</v>
      </c>
      <c r="J216">
        <v>0</v>
      </c>
    </row>
    <row r="217" spans="1:10">
      <c r="A217">
        <v>216</v>
      </c>
      <c r="B217" t="s">
        <v>36</v>
      </c>
      <c r="C217" t="s">
        <v>67</v>
      </c>
      <c r="D217" t="s">
        <v>19</v>
      </c>
      <c r="E217" t="s">
        <v>40</v>
      </c>
      <c r="F217" t="s">
        <v>41</v>
      </c>
      <c r="G217" t="s">
        <v>41</v>
      </c>
      <c r="H217" t="s">
        <v>67</v>
      </c>
      <c r="I217" t="s">
        <v>62</v>
      </c>
      <c r="J217">
        <v>0</v>
      </c>
    </row>
    <row r="218" spans="1:10">
      <c r="A218">
        <v>217</v>
      </c>
      <c r="B218" t="s">
        <v>36</v>
      </c>
      <c r="C218" t="s">
        <v>67</v>
      </c>
      <c r="D218" t="s">
        <v>19</v>
      </c>
      <c r="E218" t="s">
        <v>48</v>
      </c>
      <c r="F218" t="s">
        <v>41</v>
      </c>
      <c r="G218" t="s">
        <v>41</v>
      </c>
      <c r="H218" t="s">
        <v>67</v>
      </c>
      <c r="I218" t="s">
        <v>52</v>
      </c>
      <c r="J218">
        <v>0</v>
      </c>
    </row>
    <row r="219" spans="1:10">
      <c r="A219">
        <v>218</v>
      </c>
      <c r="B219" t="s">
        <v>36</v>
      </c>
      <c r="C219" t="s">
        <v>67</v>
      </c>
      <c r="D219" t="s">
        <v>27</v>
      </c>
      <c r="E219" t="s">
        <v>67</v>
      </c>
      <c r="F219" t="s">
        <v>67</v>
      </c>
      <c r="G219" t="s">
        <v>67</v>
      </c>
      <c r="H219" t="s">
        <v>67</v>
      </c>
      <c r="I219" t="s">
        <v>67</v>
      </c>
      <c r="J219">
        <v>0</v>
      </c>
    </row>
    <row r="220" spans="1:10">
      <c r="A220">
        <v>219</v>
      </c>
      <c r="B220" t="s">
        <v>36</v>
      </c>
      <c r="C220" t="s">
        <v>67</v>
      </c>
      <c r="D220" t="s">
        <v>19</v>
      </c>
      <c r="E220" t="s">
        <v>42</v>
      </c>
      <c r="F220" t="s">
        <v>60</v>
      </c>
      <c r="G220" t="s">
        <v>56</v>
      </c>
      <c r="H220" t="s">
        <v>67</v>
      </c>
      <c r="I220" t="s">
        <v>53</v>
      </c>
      <c r="J220">
        <v>0</v>
      </c>
    </row>
    <row r="221" spans="1:10">
      <c r="A221">
        <v>220</v>
      </c>
      <c r="B221" t="s">
        <v>37</v>
      </c>
      <c r="C221" t="s">
        <v>67</v>
      </c>
      <c r="D221" t="s">
        <v>19</v>
      </c>
      <c r="E221" t="s">
        <v>45</v>
      </c>
      <c r="F221" t="s">
        <v>50</v>
      </c>
      <c r="G221" t="s">
        <v>65</v>
      </c>
      <c r="H221" t="s">
        <v>67</v>
      </c>
      <c r="I221" t="s">
        <v>52</v>
      </c>
      <c r="J221">
        <v>0</v>
      </c>
    </row>
    <row r="222" spans="1:10">
      <c r="A222">
        <v>221</v>
      </c>
      <c r="B222" t="s">
        <v>36</v>
      </c>
      <c r="C222" t="s">
        <v>67</v>
      </c>
      <c r="D222" t="s">
        <v>19</v>
      </c>
      <c r="E222" t="s">
        <v>45</v>
      </c>
      <c r="F222" t="s">
        <v>41</v>
      </c>
      <c r="G222" t="s">
        <v>56</v>
      </c>
      <c r="H222" t="s">
        <v>67</v>
      </c>
      <c r="I222" t="s">
        <v>54</v>
      </c>
      <c r="J222">
        <v>0</v>
      </c>
    </row>
    <row r="223" spans="1:10">
      <c r="A223">
        <v>222</v>
      </c>
      <c r="B223" t="s">
        <v>36</v>
      </c>
      <c r="C223" t="s">
        <v>67</v>
      </c>
      <c r="D223" t="s">
        <v>19</v>
      </c>
      <c r="E223" t="s">
        <v>48</v>
      </c>
      <c r="F223" t="s">
        <v>41</v>
      </c>
      <c r="G223" t="s">
        <v>41</v>
      </c>
      <c r="H223" t="s">
        <v>67</v>
      </c>
      <c r="I223" t="s">
        <v>41</v>
      </c>
      <c r="J223">
        <v>1</v>
      </c>
    </row>
    <row r="224" spans="1:10">
      <c r="A224">
        <v>223</v>
      </c>
      <c r="B224" t="s">
        <v>36</v>
      </c>
      <c r="C224" t="s">
        <v>67</v>
      </c>
      <c r="D224" t="s">
        <v>19</v>
      </c>
      <c r="E224" t="s">
        <v>42</v>
      </c>
      <c r="F224" t="s">
        <v>41</v>
      </c>
      <c r="G224" t="s">
        <v>41</v>
      </c>
      <c r="H224" t="s">
        <v>67</v>
      </c>
      <c r="I224" t="s">
        <v>41</v>
      </c>
      <c r="J224">
        <v>0</v>
      </c>
    </row>
    <row r="225" spans="1:10">
      <c r="A225">
        <v>224</v>
      </c>
      <c r="B225" t="s">
        <v>36</v>
      </c>
      <c r="C225" t="s">
        <v>67</v>
      </c>
      <c r="D225" t="s">
        <v>19</v>
      </c>
      <c r="E225" t="s">
        <v>42</v>
      </c>
      <c r="F225" t="s">
        <v>41</v>
      </c>
      <c r="G225" t="s">
        <v>41</v>
      </c>
      <c r="H225" t="s">
        <v>67</v>
      </c>
      <c r="I225" t="s">
        <v>44</v>
      </c>
      <c r="J225">
        <v>0</v>
      </c>
    </row>
    <row r="226" spans="1:10">
      <c r="A226">
        <v>225</v>
      </c>
      <c r="B226" t="s">
        <v>36</v>
      </c>
      <c r="C226" t="s">
        <v>67</v>
      </c>
      <c r="D226" t="s">
        <v>19</v>
      </c>
      <c r="E226" t="s">
        <v>48</v>
      </c>
      <c r="F226" t="s">
        <v>41</v>
      </c>
      <c r="G226" t="s">
        <v>41</v>
      </c>
      <c r="H226" t="s">
        <v>67</v>
      </c>
      <c r="I226" t="s">
        <v>52</v>
      </c>
      <c r="J226">
        <v>0</v>
      </c>
    </row>
    <row r="227" spans="1:10">
      <c r="A227">
        <v>226</v>
      </c>
      <c r="B227" t="s">
        <v>37</v>
      </c>
      <c r="C227" t="s">
        <v>67</v>
      </c>
      <c r="D227" t="s">
        <v>30</v>
      </c>
      <c r="E227" t="s">
        <v>58</v>
      </c>
      <c r="F227" t="s">
        <v>41</v>
      </c>
      <c r="G227" t="s">
        <v>41</v>
      </c>
      <c r="H227" t="s">
        <v>67</v>
      </c>
      <c r="I227" t="s">
        <v>47</v>
      </c>
      <c r="J227">
        <v>0</v>
      </c>
    </row>
    <row r="228" spans="1:10">
      <c r="A228">
        <v>227</v>
      </c>
      <c r="B228" t="s">
        <v>36</v>
      </c>
      <c r="C228" t="s">
        <v>67</v>
      </c>
      <c r="D228" t="s">
        <v>19</v>
      </c>
      <c r="E228" t="s">
        <v>45</v>
      </c>
      <c r="F228" t="s">
        <v>60</v>
      </c>
      <c r="G228" t="s">
        <v>64</v>
      </c>
      <c r="H228" t="s">
        <v>67</v>
      </c>
      <c r="I228" t="s">
        <v>59</v>
      </c>
      <c r="J228">
        <v>0</v>
      </c>
    </row>
    <row r="229" spans="1:10">
      <c r="A229">
        <v>228</v>
      </c>
      <c r="B229" t="s">
        <v>36</v>
      </c>
      <c r="C229" t="s">
        <v>67</v>
      </c>
      <c r="D229" t="s">
        <v>39</v>
      </c>
      <c r="E229" t="s">
        <v>45</v>
      </c>
      <c r="F229" t="s">
        <v>50</v>
      </c>
      <c r="G229" t="s">
        <v>41</v>
      </c>
      <c r="H229" t="s">
        <v>67</v>
      </c>
      <c r="I229" t="s">
        <v>47</v>
      </c>
      <c r="J229">
        <v>0</v>
      </c>
    </row>
    <row r="230" spans="1:10">
      <c r="A230">
        <v>229</v>
      </c>
      <c r="B230" t="s">
        <v>36</v>
      </c>
      <c r="C230" t="s">
        <v>67</v>
      </c>
      <c r="D230" t="s">
        <v>34</v>
      </c>
      <c r="E230" t="s">
        <v>40</v>
      </c>
      <c r="F230" t="s">
        <v>60</v>
      </c>
      <c r="G230" t="s">
        <v>67</v>
      </c>
      <c r="H230" t="s">
        <v>67</v>
      </c>
      <c r="I230" t="s">
        <v>67</v>
      </c>
      <c r="J230">
        <v>0</v>
      </c>
    </row>
    <row r="231" spans="1:10">
      <c r="A231">
        <v>230</v>
      </c>
      <c r="B231" t="s">
        <v>36</v>
      </c>
      <c r="C231" t="s">
        <v>67</v>
      </c>
      <c r="D231" t="s">
        <v>19</v>
      </c>
      <c r="E231" t="s">
        <v>48</v>
      </c>
      <c r="F231" t="s">
        <v>41</v>
      </c>
      <c r="G231" t="s">
        <v>41</v>
      </c>
      <c r="H231" t="s">
        <v>67</v>
      </c>
      <c r="I231" t="s">
        <v>44</v>
      </c>
      <c r="J231">
        <v>0</v>
      </c>
    </row>
    <row r="232" spans="1:10">
      <c r="A232">
        <v>231</v>
      </c>
      <c r="B232" t="s">
        <v>36</v>
      </c>
      <c r="C232" t="s">
        <v>67</v>
      </c>
      <c r="D232" t="s">
        <v>19</v>
      </c>
      <c r="E232" t="s">
        <v>40</v>
      </c>
      <c r="F232" t="s">
        <v>41</v>
      </c>
      <c r="G232" t="s">
        <v>41</v>
      </c>
      <c r="H232" t="s">
        <v>67</v>
      </c>
      <c r="I232" t="s">
        <v>67</v>
      </c>
      <c r="J232">
        <v>1</v>
      </c>
    </row>
    <row r="233" spans="1:10">
      <c r="A233">
        <v>232</v>
      </c>
      <c r="B233" t="s">
        <v>36</v>
      </c>
      <c r="C233" t="s">
        <v>67</v>
      </c>
      <c r="D233" t="s">
        <v>34</v>
      </c>
      <c r="E233" t="s">
        <v>67</v>
      </c>
      <c r="F233" t="s">
        <v>67</v>
      </c>
      <c r="G233" t="s">
        <v>67</v>
      </c>
      <c r="H233" t="s">
        <v>67</v>
      </c>
      <c r="I233" t="s">
        <v>67</v>
      </c>
      <c r="J233">
        <v>0</v>
      </c>
    </row>
    <row r="234" spans="1:10">
      <c r="A234">
        <v>233</v>
      </c>
      <c r="B234" t="s">
        <v>36</v>
      </c>
      <c r="C234" t="s">
        <v>67</v>
      </c>
      <c r="D234" t="s">
        <v>39</v>
      </c>
      <c r="E234" t="s">
        <v>67</v>
      </c>
      <c r="F234" t="s">
        <v>60</v>
      </c>
      <c r="G234" t="s">
        <v>64</v>
      </c>
      <c r="H234" t="s">
        <v>67</v>
      </c>
      <c r="I234" t="s">
        <v>67</v>
      </c>
      <c r="J234">
        <v>0</v>
      </c>
    </row>
    <row r="235" spans="1:10">
      <c r="A235">
        <v>234</v>
      </c>
      <c r="B235" t="s">
        <v>36</v>
      </c>
      <c r="C235" t="s">
        <v>67</v>
      </c>
      <c r="D235" t="s">
        <v>39</v>
      </c>
      <c r="E235" t="s">
        <v>58</v>
      </c>
      <c r="F235" t="s">
        <v>41</v>
      </c>
      <c r="G235" t="s">
        <v>64</v>
      </c>
      <c r="H235" t="s">
        <v>67</v>
      </c>
      <c r="I235" t="s">
        <v>44</v>
      </c>
      <c r="J235">
        <v>0</v>
      </c>
    </row>
    <row r="236" spans="1:10">
      <c r="A236">
        <v>235</v>
      </c>
      <c r="B236" t="s">
        <v>36</v>
      </c>
      <c r="C236" t="s">
        <v>67</v>
      </c>
      <c r="D236" t="s">
        <v>39</v>
      </c>
      <c r="E236" t="s">
        <v>48</v>
      </c>
      <c r="F236" t="s">
        <v>60</v>
      </c>
      <c r="G236" t="s">
        <v>41</v>
      </c>
      <c r="H236" t="s">
        <v>67</v>
      </c>
      <c r="I236" t="s">
        <v>47</v>
      </c>
      <c r="J236">
        <v>0</v>
      </c>
    </row>
    <row r="237" spans="1:10">
      <c r="A237">
        <v>236</v>
      </c>
      <c r="B237" t="s">
        <v>36</v>
      </c>
      <c r="C237" t="s">
        <v>67</v>
      </c>
      <c r="D237" t="s">
        <v>19</v>
      </c>
      <c r="E237" t="s">
        <v>67</v>
      </c>
      <c r="F237" t="s">
        <v>67</v>
      </c>
      <c r="G237" t="s">
        <v>67</v>
      </c>
      <c r="H237" t="s">
        <v>67</v>
      </c>
      <c r="I237" t="s">
        <v>67</v>
      </c>
      <c r="J237">
        <v>0</v>
      </c>
    </row>
    <row r="238" spans="1:10">
      <c r="A238">
        <v>237</v>
      </c>
      <c r="B238" t="s">
        <v>36</v>
      </c>
      <c r="C238" t="s">
        <v>67</v>
      </c>
      <c r="D238" t="s">
        <v>19</v>
      </c>
      <c r="E238" t="s">
        <v>40</v>
      </c>
      <c r="F238" t="s">
        <v>67</v>
      </c>
      <c r="G238" t="s">
        <v>67</v>
      </c>
      <c r="H238" t="s">
        <v>67</v>
      </c>
      <c r="I238" t="s">
        <v>41</v>
      </c>
      <c r="J238">
        <v>0</v>
      </c>
    </row>
    <row r="239" spans="1:10">
      <c r="A239">
        <v>238</v>
      </c>
      <c r="B239" t="s">
        <v>36</v>
      </c>
      <c r="C239" t="s">
        <v>67</v>
      </c>
      <c r="D239" t="s">
        <v>19</v>
      </c>
      <c r="E239" t="s">
        <v>48</v>
      </c>
      <c r="F239" t="s">
        <v>67</v>
      </c>
      <c r="G239" t="s">
        <v>67</v>
      </c>
      <c r="H239" t="s">
        <v>67</v>
      </c>
      <c r="I239" t="s">
        <v>41</v>
      </c>
      <c r="J239">
        <v>0</v>
      </c>
    </row>
    <row r="240" spans="1:10">
      <c r="A240">
        <v>239</v>
      </c>
      <c r="B240" t="s">
        <v>36</v>
      </c>
      <c r="C240" t="s">
        <v>67</v>
      </c>
      <c r="D240" t="s">
        <v>19</v>
      </c>
      <c r="E240" t="s">
        <v>45</v>
      </c>
      <c r="F240" t="s">
        <v>67</v>
      </c>
      <c r="G240" t="s">
        <v>67</v>
      </c>
      <c r="H240" t="s">
        <v>67</v>
      </c>
      <c r="I240" t="s">
        <v>41</v>
      </c>
      <c r="J240">
        <v>0</v>
      </c>
    </row>
    <row r="241" spans="1:10">
      <c r="A241">
        <v>240</v>
      </c>
      <c r="B241" t="s">
        <v>36</v>
      </c>
      <c r="C241" t="s">
        <v>67</v>
      </c>
      <c r="D241" t="s">
        <v>19</v>
      </c>
      <c r="E241" t="s">
        <v>45</v>
      </c>
      <c r="F241" t="s">
        <v>41</v>
      </c>
      <c r="G241" t="s">
        <v>56</v>
      </c>
      <c r="H241" t="s">
        <v>67</v>
      </c>
      <c r="I241" t="s">
        <v>54</v>
      </c>
      <c r="J241">
        <v>0</v>
      </c>
    </row>
    <row r="242" spans="1:10">
      <c r="A242">
        <v>241</v>
      </c>
      <c r="B242" t="s">
        <v>36</v>
      </c>
      <c r="C242" t="s">
        <v>67</v>
      </c>
      <c r="D242" t="s">
        <v>26</v>
      </c>
      <c r="E242" t="s">
        <v>45</v>
      </c>
      <c r="F242" t="s">
        <v>41</v>
      </c>
      <c r="G242" t="s">
        <v>49</v>
      </c>
      <c r="H242" t="s">
        <v>67</v>
      </c>
      <c r="I242" t="s">
        <v>52</v>
      </c>
      <c r="J242">
        <v>0</v>
      </c>
    </row>
    <row r="243" spans="1:10">
      <c r="A243">
        <v>242</v>
      </c>
      <c r="B243" t="s">
        <v>36</v>
      </c>
      <c r="C243" t="s">
        <v>67</v>
      </c>
      <c r="D243" t="s">
        <v>19</v>
      </c>
      <c r="E243" t="s">
        <v>40</v>
      </c>
      <c r="F243" t="s">
        <v>67</v>
      </c>
      <c r="G243" t="s">
        <v>67</v>
      </c>
      <c r="H243" t="s">
        <v>67</v>
      </c>
      <c r="I243" t="s">
        <v>67</v>
      </c>
      <c r="J243">
        <v>0</v>
      </c>
    </row>
    <row r="244" spans="1:10">
      <c r="A244">
        <v>243</v>
      </c>
      <c r="B244" t="s">
        <v>36</v>
      </c>
      <c r="C244" t="s">
        <v>67</v>
      </c>
      <c r="D244" t="s">
        <v>19</v>
      </c>
      <c r="E244" t="s">
        <v>48</v>
      </c>
      <c r="F244" t="s">
        <v>41</v>
      </c>
      <c r="G244" t="s">
        <v>41</v>
      </c>
      <c r="H244" t="s">
        <v>67</v>
      </c>
      <c r="I244" t="s">
        <v>54</v>
      </c>
      <c r="J244">
        <v>1</v>
      </c>
    </row>
    <row r="245" spans="1:10">
      <c r="A245">
        <v>244</v>
      </c>
      <c r="B245" t="s">
        <v>36</v>
      </c>
      <c r="C245" t="s">
        <v>67</v>
      </c>
      <c r="D245" t="s">
        <v>19</v>
      </c>
      <c r="E245" t="s">
        <v>48</v>
      </c>
      <c r="F245" t="s">
        <v>61</v>
      </c>
      <c r="G245" t="s">
        <v>49</v>
      </c>
      <c r="H245" t="s">
        <v>67</v>
      </c>
      <c r="I245" t="s">
        <v>59</v>
      </c>
      <c r="J245">
        <v>0</v>
      </c>
    </row>
    <row r="246" spans="1:10">
      <c r="A246">
        <v>245</v>
      </c>
      <c r="B246" t="s">
        <v>36</v>
      </c>
      <c r="C246" t="s">
        <v>67</v>
      </c>
      <c r="D246" t="s">
        <v>34</v>
      </c>
      <c r="E246" t="s">
        <v>67</v>
      </c>
      <c r="F246" t="s">
        <v>67</v>
      </c>
      <c r="G246" t="s">
        <v>67</v>
      </c>
      <c r="H246" t="s">
        <v>67</v>
      </c>
      <c r="I246" t="s">
        <v>67</v>
      </c>
      <c r="J246">
        <v>0</v>
      </c>
    </row>
    <row r="247" spans="1:10">
      <c r="A247">
        <v>246</v>
      </c>
      <c r="B247" t="s">
        <v>36</v>
      </c>
      <c r="C247" t="s">
        <v>67</v>
      </c>
      <c r="D247" t="s">
        <v>19</v>
      </c>
      <c r="E247" t="s">
        <v>58</v>
      </c>
      <c r="F247" t="s">
        <v>41</v>
      </c>
      <c r="G247" t="s">
        <v>49</v>
      </c>
      <c r="H247" t="s">
        <v>67</v>
      </c>
      <c r="I247" t="s">
        <v>52</v>
      </c>
      <c r="J247">
        <v>0</v>
      </c>
    </row>
    <row r="248" spans="1:10">
      <c r="A248">
        <v>247</v>
      </c>
      <c r="B248" t="s">
        <v>36</v>
      </c>
      <c r="C248" t="s">
        <v>67</v>
      </c>
      <c r="D248" t="s">
        <v>19</v>
      </c>
      <c r="E248" t="s">
        <v>42</v>
      </c>
      <c r="F248" t="s">
        <v>41</v>
      </c>
      <c r="G248" t="s">
        <v>65</v>
      </c>
      <c r="H248" t="s">
        <v>67</v>
      </c>
      <c r="I248" t="s">
        <v>52</v>
      </c>
      <c r="J248">
        <v>0</v>
      </c>
    </row>
    <row r="249" spans="1:10">
      <c r="A249">
        <v>248</v>
      </c>
      <c r="B249" t="s">
        <v>36</v>
      </c>
      <c r="C249" t="s">
        <v>67</v>
      </c>
      <c r="D249" t="s">
        <v>39</v>
      </c>
      <c r="E249" t="s">
        <v>48</v>
      </c>
      <c r="F249" t="s">
        <v>61</v>
      </c>
      <c r="G249" t="s">
        <v>65</v>
      </c>
      <c r="H249" t="s">
        <v>67</v>
      </c>
      <c r="I249" t="s">
        <v>53</v>
      </c>
      <c r="J249">
        <v>0</v>
      </c>
    </row>
    <row r="250" spans="1:10">
      <c r="A250">
        <v>249</v>
      </c>
      <c r="B250" t="s">
        <v>36</v>
      </c>
      <c r="C250" t="s">
        <v>67</v>
      </c>
      <c r="D250" t="s">
        <v>19</v>
      </c>
      <c r="E250" t="s">
        <v>40</v>
      </c>
      <c r="F250" t="s">
        <v>50</v>
      </c>
      <c r="G250" t="s">
        <v>49</v>
      </c>
      <c r="H250" t="s">
        <v>67</v>
      </c>
      <c r="I250" t="s">
        <v>67</v>
      </c>
      <c r="J250">
        <v>0</v>
      </c>
    </row>
    <row r="251" spans="1:10">
      <c r="A251">
        <v>250</v>
      </c>
      <c r="B251" t="s">
        <v>36</v>
      </c>
      <c r="C251" t="s">
        <v>67</v>
      </c>
      <c r="D251" t="s">
        <v>19</v>
      </c>
      <c r="E251" t="s">
        <v>40</v>
      </c>
      <c r="F251" t="s">
        <v>55</v>
      </c>
      <c r="G251" t="s">
        <v>41</v>
      </c>
      <c r="H251" t="s">
        <v>67</v>
      </c>
      <c r="I251" t="s">
        <v>62</v>
      </c>
      <c r="J251">
        <v>0</v>
      </c>
    </row>
    <row r="252" spans="1:10">
      <c r="A252">
        <v>251</v>
      </c>
      <c r="B252" t="s">
        <v>36</v>
      </c>
      <c r="C252" t="s">
        <v>67</v>
      </c>
      <c r="D252" t="s">
        <v>19</v>
      </c>
      <c r="E252" t="s">
        <v>45</v>
      </c>
      <c r="F252" t="s">
        <v>41</v>
      </c>
      <c r="G252" t="s">
        <v>64</v>
      </c>
      <c r="H252" t="s">
        <v>67</v>
      </c>
      <c r="I252" t="s">
        <v>53</v>
      </c>
      <c r="J252">
        <v>0</v>
      </c>
    </row>
    <row r="253" spans="1:10">
      <c r="A253">
        <v>252</v>
      </c>
      <c r="B253" t="s">
        <v>36</v>
      </c>
      <c r="C253" t="s">
        <v>67</v>
      </c>
      <c r="D253" t="s">
        <v>26</v>
      </c>
      <c r="E253" t="s">
        <v>42</v>
      </c>
      <c r="F253" t="s">
        <v>41</v>
      </c>
      <c r="G253" t="s">
        <v>49</v>
      </c>
      <c r="H253" t="s">
        <v>67</v>
      </c>
      <c r="I253" t="s">
        <v>44</v>
      </c>
      <c r="J253">
        <v>0</v>
      </c>
    </row>
    <row r="254" spans="1:10">
      <c r="A254">
        <v>253</v>
      </c>
      <c r="B254" t="s">
        <v>36</v>
      </c>
      <c r="C254" t="s">
        <v>67</v>
      </c>
      <c r="D254" t="s">
        <v>19</v>
      </c>
      <c r="E254" t="s">
        <v>40</v>
      </c>
      <c r="F254" t="s">
        <v>67</v>
      </c>
      <c r="G254" t="s">
        <v>67</v>
      </c>
      <c r="H254" t="s">
        <v>67</v>
      </c>
      <c r="I254" t="s">
        <v>67</v>
      </c>
      <c r="J254">
        <v>0</v>
      </c>
    </row>
    <row r="255" spans="1:10">
      <c r="A255">
        <v>254</v>
      </c>
      <c r="B255" t="s">
        <v>36</v>
      </c>
      <c r="C255" t="s">
        <v>67</v>
      </c>
      <c r="D255" t="s">
        <v>26</v>
      </c>
      <c r="E255" t="s">
        <v>45</v>
      </c>
      <c r="F255" t="s">
        <v>41</v>
      </c>
      <c r="G255" t="s">
        <v>49</v>
      </c>
      <c r="H255" t="s">
        <v>67</v>
      </c>
      <c r="I255" t="s">
        <v>62</v>
      </c>
      <c r="J255">
        <v>0</v>
      </c>
    </row>
    <row r="256" spans="1:10">
      <c r="A256">
        <v>255</v>
      </c>
      <c r="B256" t="s">
        <v>37</v>
      </c>
      <c r="C256" t="s">
        <v>67</v>
      </c>
      <c r="D256" t="s">
        <v>33</v>
      </c>
      <c r="E256" t="s">
        <v>45</v>
      </c>
      <c r="F256" t="s">
        <v>55</v>
      </c>
      <c r="G256" t="s">
        <v>65</v>
      </c>
      <c r="H256" t="s">
        <v>67</v>
      </c>
      <c r="I256" t="s">
        <v>53</v>
      </c>
      <c r="J256">
        <v>0</v>
      </c>
    </row>
    <row r="257" spans="1:10">
      <c r="A257">
        <v>256</v>
      </c>
      <c r="B257" t="s">
        <v>37</v>
      </c>
      <c r="C257" t="s">
        <v>67</v>
      </c>
      <c r="D257" t="s">
        <v>33</v>
      </c>
      <c r="E257" t="s">
        <v>45</v>
      </c>
      <c r="F257" t="s">
        <v>61</v>
      </c>
      <c r="G257" t="s">
        <v>65</v>
      </c>
      <c r="H257" t="s">
        <v>67</v>
      </c>
      <c r="I257" t="s">
        <v>53</v>
      </c>
      <c r="J257">
        <v>0</v>
      </c>
    </row>
    <row r="258" spans="1:10">
      <c r="A258">
        <v>257</v>
      </c>
      <c r="B258" t="s">
        <v>36</v>
      </c>
      <c r="C258" t="s">
        <v>67</v>
      </c>
      <c r="D258" t="s">
        <v>26</v>
      </c>
      <c r="E258" t="s">
        <v>45</v>
      </c>
      <c r="F258" t="s">
        <v>50</v>
      </c>
      <c r="G258" t="s">
        <v>64</v>
      </c>
      <c r="H258" t="s">
        <v>67</v>
      </c>
      <c r="I258" t="s">
        <v>59</v>
      </c>
      <c r="J258">
        <v>0</v>
      </c>
    </row>
    <row r="259" spans="1:10">
      <c r="A259">
        <v>258</v>
      </c>
      <c r="B259" t="s">
        <v>36</v>
      </c>
      <c r="C259" t="s">
        <v>67</v>
      </c>
      <c r="D259" t="s">
        <v>19</v>
      </c>
      <c r="E259" t="s">
        <v>40</v>
      </c>
      <c r="F259" t="s">
        <v>67</v>
      </c>
      <c r="G259" t="s">
        <v>67</v>
      </c>
      <c r="H259" t="s">
        <v>67</v>
      </c>
      <c r="I259" t="s">
        <v>41</v>
      </c>
      <c r="J259">
        <v>0</v>
      </c>
    </row>
    <row r="260" spans="1:10">
      <c r="A260">
        <v>259</v>
      </c>
      <c r="B260" t="s">
        <v>36</v>
      </c>
      <c r="C260" t="s">
        <v>67</v>
      </c>
      <c r="D260" t="s">
        <v>19</v>
      </c>
      <c r="E260" t="s">
        <v>40</v>
      </c>
      <c r="F260" t="s">
        <v>50</v>
      </c>
      <c r="G260" t="s">
        <v>41</v>
      </c>
      <c r="H260" t="s">
        <v>67</v>
      </c>
      <c r="I260" t="s">
        <v>67</v>
      </c>
      <c r="J260">
        <v>0</v>
      </c>
    </row>
    <row r="261" spans="1:10">
      <c r="A261">
        <v>260</v>
      </c>
      <c r="B261" t="s">
        <v>36</v>
      </c>
      <c r="C261" t="s">
        <v>67</v>
      </c>
      <c r="D261" t="s">
        <v>19</v>
      </c>
      <c r="E261" t="s">
        <v>40</v>
      </c>
      <c r="F261" t="s">
        <v>41</v>
      </c>
      <c r="G261" t="s">
        <v>64</v>
      </c>
      <c r="H261" t="s">
        <v>67</v>
      </c>
      <c r="I261" t="s">
        <v>41</v>
      </c>
      <c r="J261">
        <v>0</v>
      </c>
    </row>
    <row r="262" spans="1:10">
      <c r="A262">
        <v>261</v>
      </c>
      <c r="B262" t="s">
        <v>36</v>
      </c>
      <c r="C262" t="s">
        <v>67</v>
      </c>
      <c r="D262" t="s">
        <v>30</v>
      </c>
      <c r="E262" t="s">
        <v>48</v>
      </c>
      <c r="F262" t="s">
        <v>41</v>
      </c>
      <c r="G262" t="s">
        <v>41</v>
      </c>
      <c r="H262" t="s">
        <v>67</v>
      </c>
      <c r="I262" t="s">
        <v>67</v>
      </c>
      <c r="J262">
        <v>0</v>
      </c>
    </row>
    <row r="263" spans="1:10">
      <c r="A263">
        <v>262</v>
      </c>
      <c r="B263" t="s">
        <v>36</v>
      </c>
      <c r="C263" t="s">
        <v>67</v>
      </c>
      <c r="D263" t="s">
        <v>19</v>
      </c>
      <c r="E263" t="s">
        <v>40</v>
      </c>
      <c r="F263" t="s">
        <v>61</v>
      </c>
      <c r="G263" t="s">
        <v>67</v>
      </c>
      <c r="H263" t="s">
        <v>67</v>
      </c>
      <c r="I263" t="s">
        <v>67</v>
      </c>
      <c r="J263">
        <v>0</v>
      </c>
    </row>
    <row r="264" spans="1:10">
      <c r="A264">
        <v>263</v>
      </c>
      <c r="B264" t="s">
        <v>36</v>
      </c>
      <c r="C264" t="s">
        <v>67</v>
      </c>
      <c r="D264" t="s">
        <v>33</v>
      </c>
      <c r="E264" t="s">
        <v>58</v>
      </c>
      <c r="F264" t="s">
        <v>41</v>
      </c>
      <c r="G264" t="s">
        <v>49</v>
      </c>
      <c r="H264" t="s">
        <v>67</v>
      </c>
      <c r="I264" t="s">
        <v>67</v>
      </c>
      <c r="J264">
        <v>0</v>
      </c>
    </row>
    <row r="265" spans="1:10">
      <c r="A265">
        <v>264</v>
      </c>
      <c r="B265" t="s">
        <v>36</v>
      </c>
      <c r="C265" t="s">
        <v>67</v>
      </c>
      <c r="D265" t="s">
        <v>19</v>
      </c>
      <c r="E265" t="s">
        <v>48</v>
      </c>
      <c r="F265" t="s">
        <v>41</v>
      </c>
      <c r="G265" t="s">
        <v>41</v>
      </c>
      <c r="H265" t="s">
        <v>67</v>
      </c>
      <c r="I265" t="s">
        <v>67</v>
      </c>
      <c r="J265">
        <v>0</v>
      </c>
    </row>
    <row r="266" spans="1:10">
      <c r="A266">
        <v>265</v>
      </c>
      <c r="B266" t="s">
        <v>36</v>
      </c>
      <c r="C266" t="s">
        <v>67</v>
      </c>
      <c r="D266" t="s">
        <v>19</v>
      </c>
      <c r="E266" t="s">
        <v>48</v>
      </c>
      <c r="F266" t="s">
        <v>41</v>
      </c>
      <c r="G266" t="s">
        <v>41</v>
      </c>
      <c r="H266" t="s">
        <v>67</v>
      </c>
      <c r="I266" t="s">
        <v>67</v>
      </c>
      <c r="J266">
        <v>0</v>
      </c>
    </row>
    <row r="267" spans="1:10">
      <c r="A267">
        <v>266</v>
      </c>
      <c r="B267" t="s">
        <v>36</v>
      </c>
      <c r="C267" t="s">
        <v>67</v>
      </c>
      <c r="D267" t="s">
        <v>19</v>
      </c>
      <c r="E267" t="s">
        <v>45</v>
      </c>
      <c r="F267" t="s">
        <v>41</v>
      </c>
      <c r="G267" t="s">
        <v>64</v>
      </c>
      <c r="H267" t="s">
        <v>67</v>
      </c>
      <c r="I267" t="s">
        <v>54</v>
      </c>
      <c r="J267">
        <v>0</v>
      </c>
    </row>
    <row r="268" spans="1:10">
      <c r="A268">
        <v>267</v>
      </c>
      <c r="B268" t="s">
        <v>36</v>
      </c>
      <c r="C268" t="s">
        <v>67</v>
      </c>
      <c r="D268" t="s">
        <v>19</v>
      </c>
      <c r="E268" t="s">
        <v>40</v>
      </c>
      <c r="F268" t="s">
        <v>41</v>
      </c>
      <c r="G268" t="s">
        <v>67</v>
      </c>
      <c r="H268" t="s">
        <v>67</v>
      </c>
      <c r="I268" t="s">
        <v>67</v>
      </c>
      <c r="J268">
        <v>0</v>
      </c>
    </row>
    <row r="269" spans="1:10">
      <c r="A269">
        <v>268</v>
      </c>
      <c r="B269" t="s">
        <v>36</v>
      </c>
      <c r="C269" t="s">
        <v>67</v>
      </c>
      <c r="D269" t="s">
        <v>19</v>
      </c>
      <c r="E269" t="s">
        <v>40</v>
      </c>
      <c r="F269" t="s">
        <v>41</v>
      </c>
      <c r="G269" t="s">
        <v>65</v>
      </c>
      <c r="H269" t="s">
        <v>67</v>
      </c>
      <c r="I269" t="s">
        <v>47</v>
      </c>
      <c r="J269">
        <v>0</v>
      </c>
    </row>
    <row r="270" spans="1:10">
      <c r="A270">
        <v>269</v>
      </c>
      <c r="B270" t="s">
        <v>36</v>
      </c>
      <c r="C270" t="s">
        <v>67</v>
      </c>
      <c r="D270" t="s">
        <v>19</v>
      </c>
      <c r="E270" t="s">
        <v>40</v>
      </c>
      <c r="F270" t="s">
        <v>41</v>
      </c>
      <c r="G270" t="s">
        <v>67</v>
      </c>
      <c r="H270" t="s">
        <v>67</v>
      </c>
      <c r="I270" t="s">
        <v>67</v>
      </c>
      <c r="J270">
        <v>0</v>
      </c>
    </row>
    <row r="271" spans="1:10">
      <c r="A271">
        <v>270</v>
      </c>
      <c r="B271" t="s">
        <v>36</v>
      </c>
      <c r="C271" t="s">
        <v>67</v>
      </c>
      <c r="D271" t="s">
        <v>19</v>
      </c>
      <c r="E271" t="s">
        <v>48</v>
      </c>
      <c r="F271" t="s">
        <v>41</v>
      </c>
      <c r="G271" t="s">
        <v>49</v>
      </c>
      <c r="H271" t="s">
        <v>67</v>
      </c>
      <c r="I271" t="s">
        <v>67</v>
      </c>
      <c r="J271">
        <v>0</v>
      </c>
    </row>
    <row r="272" spans="1:10">
      <c r="A272">
        <v>271</v>
      </c>
      <c r="B272" t="s">
        <v>36</v>
      </c>
      <c r="C272" t="s">
        <v>67</v>
      </c>
      <c r="D272" t="s">
        <v>19</v>
      </c>
      <c r="E272" t="s">
        <v>40</v>
      </c>
      <c r="F272" t="s">
        <v>41</v>
      </c>
      <c r="G272" t="s">
        <v>49</v>
      </c>
      <c r="H272" t="s">
        <v>67</v>
      </c>
      <c r="I272" t="s">
        <v>67</v>
      </c>
      <c r="J272">
        <v>0</v>
      </c>
    </row>
    <row r="273" spans="1:10">
      <c r="A273">
        <v>272</v>
      </c>
      <c r="B273" t="s">
        <v>36</v>
      </c>
      <c r="C273" t="s">
        <v>67</v>
      </c>
      <c r="D273" t="s">
        <v>39</v>
      </c>
      <c r="E273" t="s">
        <v>67</v>
      </c>
      <c r="F273" t="s">
        <v>60</v>
      </c>
      <c r="G273" t="s">
        <v>56</v>
      </c>
      <c r="H273" t="s">
        <v>67</v>
      </c>
      <c r="I273" t="s">
        <v>67</v>
      </c>
      <c r="J273">
        <v>0</v>
      </c>
    </row>
    <row r="274" spans="1:10">
      <c r="A274">
        <v>273</v>
      </c>
      <c r="B274" t="s">
        <v>36</v>
      </c>
      <c r="C274" t="s">
        <v>67</v>
      </c>
      <c r="D274" t="s">
        <v>26</v>
      </c>
      <c r="E274" t="s">
        <v>67</v>
      </c>
      <c r="F274" t="s">
        <v>60</v>
      </c>
      <c r="G274" t="s">
        <v>64</v>
      </c>
      <c r="H274" t="s">
        <v>67</v>
      </c>
      <c r="I274" t="s">
        <v>67</v>
      </c>
      <c r="J274">
        <v>0</v>
      </c>
    </row>
    <row r="275" spans="1:10">
      <c r="A275">
        <v>274</v>
      </c>
      <c r="B275" t="s">
        <v>36</v>
      </c>
      <c r="C275" t="s">
        <v>67</v>
      </c>
      <c r="D275" t="s">
        <v>19</v>
      </c>
      <c r="E275" t="s">
        <v>67</v>
      </c>
      <c r="F275" t="s">
        <v>67</v>
      </c>
      <c r="G275" t="s">
        <v>67</v>
      </c>
      <c r="H275" t="s">
        <v>67</v>
      </c>
      <c r="I275" t="s">
        <v>67</v>
      </c>
      <c r="J275">
        <v>0</v>
      </c>
    </row>
    <row r="276" spans="1:10">
      <c r="A276">
        <v>275</v>
      </c>
      <c r="B276" t="s">
        <v>36</v>
      </c>
      <c r="C276" t="s">
        <v>67</v>
      </c>
      <c r="D276" t="s">
        <v>19</v>
      </c>
      <c r="E276" t="s">
        <v>42</v>
      </c>
      <c r="F276" t="s">
        <v>41</v>
      </c>
      <c r="G276" t="s">
        <v>65</v>
      </c>
      <c r="H276" t="s">
        <v>67</v>
      </c>
      <c r="I276" t="s">
        <v>44</v>
      </c>
      <c r="J276">
        <v>0</v>
      </c>
    </row>
    <row r="277" spans="1:10">
      <c r="A277">
        <v>276</v>
      </c>
      <c r="B277" t="s">
        <v>36</v>
      </c>
      <c r="C277" t="s">
        <v>67</v>
      </c>
      <c r="D277" t="s">
        <v>19</v>
      </c>
      <c r="E277" t="s">
        <v>40</v>
      </c>
      <c r="F277" t="s">
        <v>67</v>
      </c>
      <c r="G277" t="s">
        <v>67</v>
      </c>
      <c r="H277" t="s">
        <v>67</v>
      </c>
      <c r="I277" t="s">
        <v>67</v>
      </c>
      <c r="J277">
        <v>0</v>
      </c>
    </row>
    <row r="278" spans="1:10">
      <c r="A278">
        <v>277</v>
      </c>
      <c r="B278" t="s">
        <v>36</v>
      </c>
      <c r="C278" t="s">
        <v>67</v>
      </c>
      <c r="D278" t="s">
        <v>19</v>
      </c>
      <c r="E278" t="s">
        <v>48</v>
      </c>
      <c r="F278" t="s">
        <v>67</v>
      </c>
      <c r="G278" t="s">
        <v>67</v>
      </c>
      <c r="H278" t="s">
        <v>67</v>
      </c>
      <c r="I278" t="s">
        <v>67</v>
      </c>
      <c r="J278">
        <v>0</v>
      </c>
    </row>
    <row r="279" spans="1:10">
      <c r="A279">
        <v>278</v>
      </c>
      <c r="B279" t="s">
        <v>36</v>
      </c>
      <c r="C279" t="s">
        <v>67</v>
      </c>
      <c r="D279" t="s">
        <v>19</v>
      </c>
      <c r="E279" t="s">
        <v>58</v>
      </c>
      <c r="F279" t="s">
        <v>41</v>
      </c>
      <c r="G279" t="s">
        <v>65</v>
      </c>
      <c r="H279" t="s">
        <v>67</v>
      </c>
      <c r="I279" t="s">
        <v>67</v>
      </c>
      <c r="J279">
        <v>0</v>
      </c>
    </row>
    <row r="280" spans="1:10">
      <c r="A280">
        <v>279</v>
      </c>
      <c r="B280" t="s">
        <v>36</v>
      </c>
      <c r="C280" t="s">
        <v>67</v>
      </c>
      <c r="D280" t="s">
        <v>19</v>
      </c>
      <c r="E280" t="s">
        <v>40</v>
      </c>
      <c r="F280" t="s">
        <v>67</v>
      </c>
      <c r="G280" t="s">
        <v>67</v>
      </c>
      <c r="H280" t="s">
        <v>67</v>
      </c>
      <c r="I280" t="s">
        <v>41</v>
      </c>
      <c r="J280">
        <v>0</v>
      </c>
    </row>
    <row r="281" spans="1:10">
      <c r="A281">
        <v>280</v>
      </c>
      <c r="B281" t="s">
        <v>36</v>
      </c>
      <c r="C281" t="s">
        <v>67</v>
      </c>
      <c r="D281" t="s">
        <v>19</v>
      </c>
      <c r="E281" t="s">
        <v>58</v>
      </c>
      <c r="F281" t="s">
        <v>41</v>
      </c>
      <c r="G281" t="s">
        <v>65</v>
      </c>
      <c r="H281" t="s">
        <v>67</v>
      </c>
      <c r="I281" t="s">
        <v>67</v>
      </c>
      <c r="J281">
        <v>1</v>
      </c>
    </row>
    <row r="282" spans="1:10">
      <c r="A282">
        <v>281</v>
      </c>
      <c r="B282" t="s">
        <v>36</v>
      </c>
      <c r="C282" t="s">
        <v>67</v>
      </c>
      <c r="D282" t="s">
        <v>26</v>
      </c>
      <c r="E282" t="s">
        <v>58</v>
      </c>
      <c r="F282" t="s">
        <v>41</v>
      </c>
      <c r="G282" t="s">
        <v>65</v>
      </c>
      <c r="H282" t="s">
        <v>67</v>
      </c>
      <c r="I282" t="s">
        <v>67</v>
      </c>
      <c r="J282">
        <v>0</v>
      </c>
    </row>
    <row r="283" spans="1:10">
      <c r="A283">
        <v>282</v>
      </c>
      <c r="B283" t="s">
        <v>36</v>
      </c>
      <c r="C283" t="s">
        <v>67</v>
      </c>
      <c r="D283" t="s">
        <v>26</v>
      </c>
      <c r="E283" t="s">
        <v>45</v>
      </c>
      <c r="F283" t="s">
        <v>60</v>
      </c>
      <c r="G283" t="s">
        <v>49</v>
      </c>
      <c r="H283" t="s">
        <v>67</v>
      </c>
      <c r="I283" t="s">
        <v>53</v>
      </c>
      <c r="J283">
        <v>0</v>
      </c>
    </row>
    <row r="284" spans="1:10">
      <c r="A284">
        <v>283</v>
      </c>
      <c r="B284" t="s">
        <v>36</v>
      </c>
      <c r="C284" t="s">
        <v>67</v>
      </c>
      <c r="D284" t="s">
        <v>19</v>
      </c>
      <c r="E284" t="s">
        <v>40</v>
      </c>
      <c r="F284" t="s">
        <v>41</v>
      </c>
      <c r="G284" t="s">
        <v>64</v>
      </c>
      <c r="H284" t="s">
        <v>67</v>
      </c>
      <c r="I284" t="s">
        <v>44</v>
      </c>
      <c r="J284">
        <v>0</v>
      </c>
    </row>
    <row r="285" spans="1:10">
      <c r="A285">
        <v>284</v>
      </c>
      <c r="B285" t="s">
        <v>36</v>
      </c>
      <c r="C285" t="s">
        <v>67</v>
      </c>
      <c r="D285" t="s">
        <v>32</v>
      </c>
      <c r="E285" t="s">
        <v>67</v>
      </c>
      <c r="F285" t="s">
        <v>41</v>
      </c>
      <c r="G285" t="s">
        <v>67</v>
      </c>
      <c r="H285" t="s">
        <v>67</v>
      </c>
      <c r="I285" t="s">
        <v>44</v>
      </c>
      <c r="J285">
        <v>0</v>
      </c>
    </row>
    <row r="286" spans="1:10">
      <c r="A286">
        <v>285</v>
      </c>
      <c r="B286" t="s">
        <v>36</v>
      </c>
      <c r="C286" t="s">
        <v>67</v>
      </c>
      <c r="D286" t="s">
        <v>30</v>
      </c>
      <c r="E286" t="s">
        <v>42</v>
      </c>
      <c r="F286" t="s">
        <v>60</v>
      </c>
      <c r="G286" t="s">
        <v>56</v>
      </c>
      <c r="H286" t="s">
        <v>67</v>
      </c>
      <c r="I286" t="s">
        <v>53</v>
      </c>
      <c r="J286">
        <v>0</v>
      </c>
    </row>
    <row r="287" spans="1:10">
      <c r="A287">
        <v>286</v>
      </c>
      <c r="B287" t="s">
        <v>36</v>
      </c>
      <c r="C287" t="s">
        <v>67</v>
      </c>
      <c r="D287" t="s">
        <v>19</v>
      </c>
      <c r="E287" t="s">
        <v>45</v>
      </c>
      <c r="F287" t="s">
        <v>41</v>
      </c>
      <c r="G287" t="s">
        <v>56</v>
      </c>
      <c r="H287" t="s">
        <v>67</v>
      </c>
      <c r="I287" t="s">
        <v>67</v>
      </c>
      <c r="J287">
        <v>0</v>
      </c>
    </row>
    <row r="288" spans="1:10">
      <c r="A288">
        <v>287</v>
      </c>
      <c r="B288" t="s">
        <v>36</v>
      </c>
      <c r="C288" t="s">
        <v>67</v>
      </c>
      <c r="D288" t="s">
        <v>19</v>
      </c>
      <c r="E288" t="s">
        <v>48</v>
      </c>
      <c r="F288" t="s">
        <v>67</v>
      </c>
      <c r="G288" t="s">
        <v>67</v>
      </c>
      <c r="H288" t="s">
        <v>67</v>
      </c>
      <c r="I288" t="s">
        <v>67</v>
      </c>
      <c r="J288">
        <v>0</v>
      </c>
    </row>
    <row r="289" spans="1:10">
      <c r="A289">
        <v>288</v>
      </c>
      <c r="B289" t="s">
        <v>36</v>
      </c>
      <c r="C289" t="s">
        <v>67</v>
      </c>
      <c r="D289" t="s">
        <v>26</v>
      </c>
      <c r="E289" t="s">
        <v>40</v>
      </c>
      <c r="F289" t="s">
        <v>55</v>
      </c>
      <c r="G289" t="s">
        <v>64</v>
      </c>
      <c r="H289" t="s">
        <v>67</v>
      </c>
      <c r="I289" t="s">
        <v>67</v>
      </c>
      <c r="J289">
        <v>0</v>
      </c>
    </row>
    <row r="290" spans="1:10">
      <c r="A290">
        <v>289</v>
      </c>
      <c r="B290" t="s">
        <v>36</v>
      </c>
      <c r="C290" t="s">
        <v>67</v>
      </c>
      <c r="D290" t="s">
        <v>38</v>
      </c>
      <c r="E290" t="s">
        <v>45</v>
      </c>
      <c r="F290" t="s">
        <v>41</v>
      </c>
      <c r="G290" t="s">
        <v>41</v>
      </c>
      <c r="H290" t="s">
        <v>67</v>
      </c>
      <c r="I290" t="s">
        <v>44</v>
      </c>
      <c r="J290">
        <v>0</v>
      </c>
    </row>
    <row r="291" spans="1:10">
      <c r="A291">
        <v>290</v>
      </c>
      <c r="B291" t="s">
        <v>36</v>
      </c>
      <c r="C291" t="s">
        <v>67</v>
      </c>
      <c r="D291" t="s">
        <v>26</v>
      </c>
      <c r="E291" t="s">
        <v>42</v>
      </c>
      <c r="F291" t="s">
        <v>41</v>
      </c>
      <c r="G291" t="s">
        <v>67</v>
      </c>
      <c r="H291" t="s">
        <v>67</v>
      </c>
      <c r="I291" t="s">
        <v>67</v>
      </c>
      <c r="J291">
        <v>0</v>
      </c>
    </row>
    <row r="292" spans="1:10">
      <c r="A292">
        <v>291</v>
      </c>
      <c r="B292" t="s">
        <v>36</v>
      </c>
      <c r="C292" t="s">
        <v>67</v>
      </c>
      <c r="D292" t="s">
        <v>30</v>
      </c>
      <c r="E292" t="s">
        <v>42</v>
      </c>
      <c r="F292" t="s">
        <v>41</v>
      </c>
      <c r="G292" t="s">
        <v>65</v>
      </c>
      <c r="H292" t="s">
        <v>67</v>
      </c>
      <c r="I292" t="s">
        <v>67</v>
      </c>
      <c r="J292">
        <v>0</v>
      </c>
    </row>
    <row r="293" spans="1:10">
      <c r="A293">
        <v>292</v>
      </c>
      <c r="B293" t="s">
        <v>36</v>
      </c>
      <c r="C293" t="s">
        <v>67</v>
      </c>
      <c r="D293" t="s">
        <v>39</v>
      </c>
      <c r="E293" t="s">
        <v>48</v>
      </c>
      <c r="F293" t="s">
        <v>41</v>
      </c>
      <c r="G293" t="s">
        <v>64</v>
      </c>
      <c r="H293" t="s">
        <v>67</v>
      </c>
      <c r="I293" t="s">
        <v>67</v>
      </c>
      <c r="J293">
        <v>0</v>
      </c>
    </row>
    <row r="294" spans="1:10">
      <c r="A294">
        <v>293</v>
      </c>
      <c r="B294" t="s">
        <v>36</v>
      </c>
      <c r="C294" t="s">
        <v>67</v>
      </c>
      <c r="D294" t="s">
        <v>19</v>
      </c>
      <c r="E294" t="s">
        <v>42</v>
      </c>
      <c r="F294" t="s">
        <v>41</v>
      </c>
      <c r="G294" t="s">
        <v>65</v>
      </c>
      <c r="H294" t="s">
        <v>67</v>
      </c>
      <c r="I294" t="s">
        <v>67</v>
      </c>
      <c r="J294">
        <v>0</v>
      </c>
    </row>
    <row r="295" spans="1:10">
      <c r="A295">
        <v>294</v>
      </c>
      <c r="B295" t="s">
        <v>36</v>
      </c>
      <c r="C295" t="s">
        <v>67</v>
      </c>
      <c r="D295" t="s">
        <v>19</v>
      </c>
      <c r="E295" t="s">
        <v>40</v>
      </c>
      <c r="F295" t="s">
        <v>41</v>
      </c>
      <c r="G295" t="s">
        <v>67</v>
      </c>
      <c r="H295" t="s">
        <v>67</v>
      </c>
      <c r="I295" t="s">
        <v>41</v>
      </c>
      <c r="J295">
        <v>0</v>
      </c>
    </row>
    <row r="296" spans="1:10">
      <c r="A296">
        <v>295</v>
      </c>
      <c r="B296" t="s">
        <v>36</v>
      </c>
      <c r="C296" t="s">
        <v>67</v>
      </c>
      <c r="D296" t="s">
        <v>19</v>
      </c>
      <c r="E296" t="s">
        <v>58</v>
      </c>
      <c r="F296" t="s">
        <v>41</v>
      </c>
      <c r="G296" t="s">
        <v>49</v>
      </c>
      <c r="H296" t="s">
        <v>67</v>
      </c>
      <c r="I296" t="s">
        <v>53</v>
      </c>
      <c r="J296">
        <v>0</v>
      </c>
    </row>
    <row r="297" spans="1:10">
      <c r="A297">
        <v>296</v>
      </c>
      <c r="B297" t="s">
        <v>36</v>
      </c>
      <c r="C297" t="s">
        <v>67</v>
      </c>
      <c r="D297" t="s">
        <v>19</v>
      </c>
      <c r="E297" t="s">
        <v>40</v>
      </c>
      <c r="F297" t="s">
        <v>67</v>
      </c>
      <c r="G297" t="s">
        <v>67</v>
      </c>
      <c r="H297" t="s">
        <v>67</v>
      </c>
      <c r="I297" t="s">
        <v>67</v>
      </c>
      <c r="J297">
        <v>0</v>
      </c>
    </row>
    <row r="298" spans="1:10">
      <c r="A298">
        <v>297</v>
      </c>
      <c r="B298" t="s">
        <v>37</v>
      </c>
      <c r="C298" t="s">
        <v>67</v>
      </c>
      <c r="D298" t="s">
        <v>30</v>
      </c>
      <c r="E298" t="s">
        <v>45</v>
      </c>
      <c r="F298" t="s">
        <v>61</v>
      </c>
      <c r="G298" t="s">
        <v>65</v>
      </c>
      <c r="H298" t="s">
        <v>67</v>
      </c>
      <c r="I298" t="s">
        <v>67</v>
      </c>
      <c r="J298">
        <v>0</v>
      </c>
    </row>
    <row r="299" spans="1:10">
      <c r="A299">
        <v>298</v>
      </c>
      <c r="B299" t="s">
        <v>36</v>
      </c>
      <c r="C299" t="s">
        <v>67</v>
      </c>
      <c r="D299" t="s">
        <v>19</v>
      </c>
      <c r="E299" t="s">
        <v>40</v>
      </c>
      <c r="F299" t="s">
        <v>41</v>
      </c>
      <c r="G299" t="s">
        <v>49</v>
      </c>
      <c r="H299" t="s">
        <v>67</v>
      </c>
      <c r="I299" t="s">
        <v>67</v>
      </c>
      <c r="J299">
        <v>0</v>
      </c>
    </row>
    <row r="300" spans="1:10">
      <c r="A300">
        <v>299</v>
      </c>
      <c r="B300" t="s">
        <v>37</v>
      </c>
      <c r="C300" t="s">
        <v>67</v>
      </c>
      <c r="D300" t="s">
        <v>26</v>
      </c>
      <c r="E300" t="s">
        <v>45</v>
      </c>
      <c r="F300" t="s">
        <v>61</v>
      </c>
      <c r="G300" t="s">
        <v>49</v>
      </c>
      <c r="H300" t="s">
        <v>67</v>
      </c>
      <c r="I300" t="s">
        <v>67</v>
      </c>
      <c r="J300">
        <v>0</v>
      </c>
    </row>
    <row r="301" spans="1:10">
      <c r="A301">
        <v>300</v>
      </c>
      <c r="B301" t="s">
        <v>36</v>
      </c>
      <c r="C301" t="s">
        <v>67</v>
      </c>
      <c r="D301" t="s">
        <v>19</v>
      </c>
      <c r="E301" t="s">
        <v>40</v>
      </c>
      <c r="F301" t="s">
        <v>41</v>
      </c>
      <c r="G301" t="s">
        <v>65</v>
      </c>
      <c r="H301" t="s">
        <v>67</v>
      </c>
      <c r="I301" t="s">
        <v>67</v>
      </c>
      <c r="J301">
        <v>0</v>
      </c>
    </row>
    <row r="302" spans="1:10">
      <c r="A302">
        <v>301</v>
      </c>
      <c r="B302" t="s">
        <v>36</v>
      </c>
      <c r="C302" t="s">
        <v>67</v>
      </c>
      <c r="D302" t="s">
        <v>26</v>
      </c>
      <c r="E302" t="s">
        <v>67</v>
      </c>
      <c r="F302" t="s">
        <v>60</v>
      </c>
      <c r="G302" t="s">
        <v>65</v>
      </c>
      <c r="H302" t="s">
        <v>67</v>
      </c>
      <c r="I302" t="s">
        <v>67</v>
      </c>
      <c r="J302">
        <v>0</v>
      </c>
    </row>
    <row r="303" spans="1:10">
      <c r="A303">
        <v>302</v>
      </c>
      <c r="B303" t="s">
        <v>36</v>
      </c>
      <c r="C303" t="s">
        <v>67</v>
      </c>
      <c r="D303" t="s">
        <v>32</v>
      </c>
      <c r="E303" t="s">
        <v>67</v>
      </c>
      <c r="F303" t="s">
        <v>67</v>
      </c>
      <c r="G303" t="s">
        <v>67</v>
      </c>
      <c r="H303" t="s">
        <v>67</v>
      </c>
      <c r="I303" t="s">
        <v>67</v>
      </c>
      <c r="J303">
        <v>0</v>
      </c>
    </row>
    <row r="304" spans="1:10">
      <c r="A304">
        <v>303</v>
      </c>
      <c r="B304" t="s">
        <v>36</v>
      </c>
      <c r="C304" t="s">
        <v>67</v>
      </c>
      <c r="D304" t="s">
        <v>19</v>
      </c>
      <c r="E304" t="s">
        <v>58</v>
      </c>
      <c r="F304" t="s">
        <v>41</v>
      </c>
      <c r="G304" t="s">
        <v>64</v>
      </c>
      <c r="H304" t="s">
        <v>67</v>
      </c>
      <c r="I304" t="s">
        <v>67</v>
      </c>
      <c r="J304">
        <v>0</v>
      </c>
    </row>
    <row r="305" spans="1:10">
      <c r="A305">
        <v>304</v>
      </c>
      <c r="B305" t="s">
        <v>36</v>
      </c>
      <c r="C305" t="s">
        <v>67</v>
      </c>
      <c r="D305" t="s">
        <v>19</v>
      </c>
      <c r="E305" t="s">
        <v>48</v>
      </c>
      <c r="F305" t="s">
        <v>50</v>
      </c>
      <c r="G305" t="s">
        <v>49</v>
      </c>
      <c r="H305" t="s">
        <v>67</v>
      </c>
      <c r="I305" t="s">
        <v>67</v>
      </c>
      <c r="J305">
        <v>0</v>
      </c>
    </row>
    <row r="306" spans="1:10">
      <c r="A306">
        <v>305</v>
      </c>
      <c r="B306" t="s">
        <v>36</v>
      </c>
      <c r="C306" t="s">
        <v>67</v>
      </c>
      <c r="D306" t="s">
        <v>39</v>
      </c>
      <c r="E306" t="s">
        <v>45</v>
      </c>
      <c r="F306" t="s">
        <v>61</v>
      </c>
      <c r="G306" t="s">
        <v>49</v>
      </c>
      <c r="H306" t="s">
        <v>67</v>
      </c>
      <c r="I306" t="s">
        <v>67</v>
      </c>
      <c r="J306">
        <v>0</v>
      </c>
    </row>
    <row r="307" spans="1:10">
      <c r="A307">
        <v>306</v>
      </c>
      <c r="B307" t="s">
        <v>36</v>
      </c>
      <c r="C307" t="s">
        <v>67</v>
      </c>
      <c r="D307" t="s">
        <v>19</v>
      </c>
      <c r="E307" t="s">
        <v>48</v>
      </c>
      <c r="F307" t="s">
        <v>55</v>
      </c>
      <c r="G307" t="s">
        <v>64</v>
      </c>
      <c r="H307" t="s">
        <v>67</v>
      </c>
      <c r="I307" t="s">
        <v>62</v>
      </c>
      <c r="J307">
        <v>0</v>
      </c>
    </row>
    <row r="308" spans="1:10">
      <c r="A308">
        <v>307</v>
      </c>
      <c r="B308" t="s">
        <v>36</v>
      </c>
      <c r="C308" t="s">
        <v>67</v>
      </c>
      <c r="D308" t="s">
        <v>30</v>
      </c>
      <c r="E308" t="s">
        <v>45</v>
      </c>
      <c r="F308" t="s">
        <v>41</v>
      </c>
      <c r="G308" t="s">
        <v>49</v>
      </c>
      <c r="H308" t="s">
        <v>67</v>
      </c>
      <c r="I308" t="s">
        <v>41</v>
      </c>
      <c r="J308">
        <v>1</v>
      </c>
    </row>
    <row r="309" spans="1:10">
      <c r="A309">
        <v>308</v>
      </c>
      <c r="B309" t="s">
        <v>36</v>
      </c>
      <c r="C309" t="s">
        <v>67</v>
      </c>
      <c r="D309" t="s">
        <v>19</v>
      </c>
      <c r="E309" t="s">
        <v>42</v>
      </c>
      <c r="F309" t="s">
        <v>41</v>
      </c>
      <c r="G309" t="s">
        <v>41</v>
      </c>
      <c r="H309" t="s">
        <v>67</v>
      </c>
      <c r="I309" t="s">
        <v>67</v>
      </c>
      <c r="J309">
        <v>0</v>
      </c>
    </row>
    <row r="310" spans="1:10">
      <c r="A310">
        <v>309</v>
      </c>
      <c r="B310" t="s">
        <v>36</v>
      </c>
      <c r="C310" t="s">
        <v>67</v>
      </c>
      <c r="D310" t="s">
        <v>19</v>
      </c>
      <c r="E310" t="s">
        <v>48</v>
      </c>
      <c r="F310" t="s">
        <v>41</v>
      </c>
      <c r="G310" t="s">
        <v>41</v>
      </c>
      <c r="H310" t="s">
        <v>67</v>
      </c>
      <c r="I310" t="s">
        <v>67</v>
      </c>
      <c r="J310">
        <v>0</v>
      </c>
    </row>
    <row r="311" spans="1:10">
      <c r="A311">
        <v>310</v>
      </c>
      <c r="B311" t="s">
        <v>36</v>
      </c>
      <c r="C311" t="s">
        <v>67</v>
      </c>
      <c r="D311" t="s">
        <v>19</v>
      </c>
      <c r="E311" t="s">
        <v>42</v>
      </c>
      <c r="F311" t="s">
        <v>41</v>
      </c>
      <c r="G311" t="s">
        <v>41</v>
      </c>
      <c r="H311" t="s">
        <v>67</v>
      </c>
      <c r="I311" t="s">
        <v>67</v>
      </c>
      <c r="J311">
        <v>0</v>
      </c>
    </row>
    <row r="312" spans="1:10">
      <c r="A312">
        <v>311</v>
      </c>
      <c r="B312" t="s">
        <v>36</v>
      </c>
      <c r="C312" t="s">
        <v>67</v>
      </c>
      <c r="D312" t="s">
        <v>19</v>
      </c>
      <c r="E312" t="s">
        <v>48</v>
      </c>
      <c r="F312" t="s">
        <v>67</v>
      </c>
      <c r="G312" t="s">
        <v>67</v>
      </c>
      <c r="H312" t="s">
        <v>67</v>
      </c>
      <c r="I312" t="s">
        <v>67</v>
      </c>
      <c r="J312">
        <v>0</v>
      </c>
    </row>
    <row r="313" spans="1:10">
      <c r="A313">
        <v>312</v>
      </c>
      <c r="B313" t="s">
        <v>36</v>
      </c>
      <c r="C313" t="s">
        <v>67</v>
      </c>
      <c r="D313" t="s">
        <v>19</v>
      </c>
      <c r="E313" t="s">
        <v>40</v>
      </c>
      <c r="F313" t="s">
        <v>67</v>
      </c>
      <c r="G313" t="s">
        <v>67</v>
      </c>
      <c r="H313" t="s">
        <v>67</v>
      </c>
      <c r="I313" t="s">
        <v>67</v>
      </c>
      <c r="J313">
        <v>0</v>
      </c>
    </row>
    <row r="314" spans="1:10">
      <c r="A314">
        <v>313</v>
      </c>
      <c r="B314" t="s">
        <v>36</v>
      </c>
      <c r="C314" t="s">
        <v>67</v>
      </c>
      <c r="D314" t="s">
        <v>19</v>
      </c>
      <c r="E314" t="s">
        <v>58</v>
      </c>
      <c r="F314" t="s">
        <v>41</v>
      </c>
      <c r="G314" t="s">
        <v>64</v>
      </c>
      <c r="H314" t="s">
        <v>67</v>
      </c>
      <c r="I314" t="s">
        <v>67</v>
      </c>
      <c r="J314">
        <v>0</v>
      </c>
    </row>
    <row r="315" spans="1:10">
      <c r="A315">
        <v>314</v>
      </c>
      <c r="B315" t="s">
        <v>36</v>
      </c>
      <c r="C315" t="s">
        <v>67</v>
      </c>
      <c r="D315" t="s">
        <v>19</v>
      </c>
      <c r="E315" t="s">
        <v>48</v>
      </c>
      <c r="F315" t="s">
        <v>55</v>
      </c>
      <c r="G315" t="s">
        <v>65</v>
      </c>
      <c r="H315" t="s">
        <v>67</v>
      </c>
      <c r="I315" t="s">
        <v>67</v>
      </c>
      <c r="J315">
        <v>0</v>
      </c>
    </row>
    <row r="316" spans="1:10">
      <c r="A316">
        <v>315</v>
      </c>
      <c r="B316" t="s">
        <v>36</v>
      </c>
      <c r="C316" t="s">
        <v>67</v>
      </c>
      <c r="D316" t="s">
        <v>19</v>
      </c>
      <c r="E316" t="s">
        <v>58</v>
      </c>
      <c r="F316" t="s">
        <v>41</v>
      </c>
      <c r="G316" t="s">
        <v>64</v>
      </c>
      <c r="H316" t="s">
        <v>67</v>
      </c>
      <c r="I316" t="s">
        <v>67</v>
      </c>
      <c r="J316">
        <v>0</v>
      </c>
    </row>
    <row r="317" spans="1:10">
      <c r="A317">
        <v>316</v>
      </c>
      <c r="B317" t="s">
        <v>36</v>
      </c>
      <c r="C317" t="s">
        <v>67</v>
      </c>
      <c r="D317" t="s">
        <v>30</v>
      </c>
      <c r="E317" t="s">
        <v>40</v>
      </c>
      <c r="F317" t="s">
        <v>41</v>
      </c>
      <c r="G317" t="s">
        <v>67</v>
      </c>
      <c r="H317" t="s">
        <v>67</v>
      </c>
      <c r="I317" t="s">
        <v>67</v>
      </c>
      <c r="J317">
        <v>0</v>
      </c>
    </row>
    <row r="318" spans="1:10">
      <c r="A318">
        <v>317</v>
      </c>
      <c r="B318" t="s">
        <v>36</v>
      </c>
      <c r="C318" t="s">
        <v>67</v>
      </c>
      <c r="D318" t="s">
        <v>19</v>
      </c>
      <c r="E318" t="s">
        <v>58</v>
      </c>
      <c r="F318" t="s">
        <v>41</v>
      </c>
      <c r="G318" t="s">
        <v>67</v>
      </c>
      <c r="H318" t="s">
        <v>67</v>
      </c>
      <c r="I318" t="s">
        <v>67</v>
      </c>
      <c r="J318">
        <v>0</v>
      </c>
    </row>
    <row r="319" spans="1:10">
      <c r="A319">
        <v>318</v>
      </c>
      <c r="B319" t="s">
        <v>36</v>
      </c>
      <c r="C319" t="s">
        <v>67</v>
      </c>
      <c r="D319" t="s">
        <v>19</v>
      </c>
      <c r="E319" t="s">
        <v>48</v>
      </c>
      <c r="F319" t="s">
        <v>55</v>
      </c>
      <c r="G319" t="s">
        <v>64</v>
      </c>
      <c r="H319" t="s">
        <v>67</v>
      </c>
      <c r="I319" t="s">
        <v>67</v>
      </c>
      <c r="J319">
        <v>0</v>
      </c>
    </row>
    <row r="320" spans="1:10">
      <c r="A320">
        <v>319</v>
      </c>
      <c r="B320" t="s">
        <v>36</v>
      </c>
      <c r="C320" t="s">
        <v>67</v>
      </c>
      <c r="D320" t="s">
        <v>19</v>
      </c>
      <c r="E320" t="s">
        <v>45</v>
      </c>
      <c r="F320" t="s">
        <v>55</v>
      </c>
      <c r="G320" t="s">
        <v>41</v>
      </c>
      <c r="H320" t="s">
        <v>67</v>
      </c>
      <c r="I320" t="s">
        <v>67</v>
      </c>
      <c r="J320">
        <v>0</v>
      </c>
    </row>
    <row r="321" spans="1:10">
      <c r="A321">
        <v>320</v>
      </c>
      <c r="B321" t="s">
        <v>36</v>
      </c>
      <c r="C321" t="s">
        <v>67</v>
      </c>
      <c r="D321" t="s">
        <v>19</v>
      </c>
      <c r="E321" t="s">
        <v>58</v>
      </c>
      <c r="F321" t="s">
        <v>41</v>
      </c>
      <c r="G321" t="s">
        <v>65</v>
      </c>
      <c r="H321" t="s">
        <v>67</v>
      </c>
      <c r="I321" t="s">
        <v>67</v>
      </c>
      <c r="J321">
        <v>0</v>
      </c>
    </row>
    <row r="322" spans="1:10">
      <c r="A322">
        <v>321</v>
      </c>
      <c r="B322" t="s">
        <v>36</v>
      </c>
      <c r="C322" t="s">
        <v>67</v>
      </c>
      <c r="D322" t="s">
        <v>34</v>
      </c>
      <c r="E322" t="s">
        <v>40</v>
      </c>
      <c r="F322" t="s">
        <v>67</v>
      </c>
      <c r="G322" t="s">
        <v>67</v>
      </c>
      <c r="H322" t="s">
        <v>67</v>
      </c>
      <c r="I322" t="s">
        <v>67</v>
      </c>
      <c r="J322">
        <v>0</v>
      </c>
    </row>
    <row r="323" spans="1:10">
      <c r="A323">
        <v>322</v>
      </c>
      <c r="B323" t="s">
        <v>36</v>
      </c>
      <c r="C323" t="s">
        <v>67</v>
      </c>
      <c r="D323" t="s">
        <v>34</v>
      </c>
      <c r="E323" t="s">
        <v>40</v>
      </c>
      <c r="F323" t="s">
        <v>67</v>
      </c>
      <c r="G323" t="s">
        <v>67</v>
      </c>
      <c r="H323" t="s">
        <v>67</v>
      </c>
      <c r="I323" t="s">
        <v>67</v>
      </c>
      <c r="J323">
        <v>0</v>
      </c>
    </row>
    <row r="324" spans="1:10">
      <c r="A324">
        <v>323</v>
      </c>
      <c r="B324" t="s">
        <v>36</v>
      </c>
      <c r="C324" t="s">
        <v>67</v>
      </c>
      <c r="D324" t="s">
        <v>26</v>
      </c>
      <c r="E324" t="s">
        <v>45</v>
      </c>
      <c r="F324" t="s">
        <v>41</v>
      </c>
      <c r="G324" t="s">
        <v>49</v>
      </c>
      <c r="H324" t="s">
        <v>67</v>
      </c>
      <c r="I324" t="s">
        <v>67</v>
      </c>
      <c r="J324">
        <v>0</v>
      </c>
    </row>
    <row r="325" spans="1:10">
      <c r="A325">
        <v>324</v>
      </c>
      <c r="B325" t="s">
        <v>36</v>
      </c>
      <c r="C325" t="s">
        <v>67</v>
      </c>
      <c r="D325" t="s">
        <v>30</v>
      </c>
      <c r="E325" t="s">
        <v>58</v>
      </c>
      <c r="F325" t="s">
        <v>67</v>
      </c>
      <c r="G325" t="s">
        <v>41</v>
      </c>
      <c r="H325" t="s">
        <v>67</v>
      </c>
      <c r="I325" t="s">
        <v>67</v>
      </c>
      <c r="J325">
        <v>0</v>
      </c>
    </row>
    <row r="326" spans="1:10">
      <c r="A326">
        <v>325</v>
      </c>
      <c r="B326" t="s">
        <v>17</v>
      </c>
      <c r="C326" t="s">
        <v>18</v>
      </c>
      <c r="D326" t="s">
        <v>19</v>
      </c>
      <c r="E326" t="s">
        <v>40</v>
      </c>
      <c r="F326" t="s">
        <v>41</v>
      </c>
      <c r="G326" t="s">
        <v>41</v>
      </c>
      <c r="H326" t="s">
        <v>67</v>
      </c>
      <c r="I326" t="s">
        <v>41</v>
      </c>
      <c r="J326">
        <v>0</v>
      </c>
    </row>
    <row r="327" spans="1:10">
      <c r="A327">
        <v>326</v>
      </c>
      <c r="B327" t="s">
        <v>36</v>
      </c>
      <c r="C327" t="s">
        <v>67</v>
      </c>
      <c r="D327" t="s">
        <v>34</v>
      </c>
      <c r="E327" t="s">
        <v>67</v>
      </c>
      <c r="F327" t="s">
        <v>67</v>
      </c>
      <c r="G327" t="s">
        <v>67</v>
      </c>
      <c r="H327" t="s">
        <v>67</v>
      </c>
      <c r="I327" t="s">
        <v>67</v>
      </c>
      <c r="J327">
        <v>0</v>
      </c>
    </row>
    <row r="328" spans="1:10">
      <c r="A328">
        <v>327</v>
      </c>
      <c r="B328" t="s">
        <v>36</v>
      </c>
      <c r="C328" t="s">
        <v>67</v>
      </c>
      <c r="D328" t="s">
        <v>19</v>
      </c>
      <c r="E328" t="s">
        <v>45</v>
      </c>
      <c r="F328" t="s">
        <v>55</v>
      </c>
      <c r="G328" t="s">
        <v>65</v>
      </c>
      <c r="H328" t="s">
        <v>67</v>
      </c>
      <c r="I328" t="s">
        <v>52</v>
      </c>
      <c r="J328">
        <v>0</v>
      </c>
    </row>
    <row r="329" spans="1:10">
      <c r="A329">
        <v>328</v>
      </c>
      <c r="B329" t="s">
        <v>17</v>
      </c>
      <c r="C329" t="s">
        <v>18</v>
      </c>
      <c r="D329" t="s">
        <v>19</v>
      </c>
      <c r="E329" t="s">
        <v>42</v>
      </c>
      <c r="F329" t="s">
        <v>55</v>
      </c>
      <c r="G329" t="s">
        <v>56</v>
      </c>
      <c r="H329" t="s">
        <v>67</v>
      </c>
      <c r="I329" t="s">
        <v>47</v>
      </c>
      <c r="J329">
        <v>0</v>
      </c>
    </row>
    <row r="330" spans="1:10">
      <c r="A330">
        <v>329</v>
      </c>
      <c r="B330" t="s">
        <v>17</v>
      </c>
      <c r="C330" t="s">
        <v>18</v>
      </c>
      <c r="D330" t="s">
        <v>19</v>
      </c>
      <c r="E330" t="s">
        <v>58</v>
      </c>
      <c r="F330" t="s">
        <v>50</v>
      </c>
      <c r="G330" t="s">
        <v>67</v>
      </c>
      <c r="H330" t="s">
        <v>67</v>
      </c>
      <c r="I330" t="s">
        <v>59</v>
      </c>
      <c r="J330">
        <v>0</v>
      </c>
    </row>
    <row r="331" spans="1:10">
      <c r="A331">
        <v>330</v>
      </c>
      <c r="B331" t="s">
        <v>17</v>
      </c>
      <c r="C331" t="s">
        <v>18</v>
      </c>
      <c r="D331" t="s">
        <v>29</v>
      </c>
      <c r="E331" t="s">
        <v>48</v>
      </c>
      <c r="F331" t="s">
        <v>41</v>
      </c>
      <c r="G331" t="s">
        <v>41</v>
      </c>
      <c r="H331" t="s">
        <v>43</v>
      </c>
      <c r="I331" t="s">
        <v>54</v>
      </c>
      <c r="J331">
        <v>0</v>
      </c>
    </row>
    <row r="332" spans="1:10">
      <c r="A332">
        <v>331</v>
      </c>
      <c r="B332" t="s">
        <v>17</v>
      </c>
      <c r="C332" t="s">
        <v>18</v>
      </c>
      <c r="D332" t="s">
        <v>19</v>
      </c>
      <c r="E332" t="s">
        <v>45</v>
      </c>
      <c r="F332" t="s">
        <v>55</v>
      </c>
      <c r="G332" t="s">
        <v>41</v>
      </c>
      <c r="H332" t="s">
        <v>41</v>
      </c>
      <c r="I332" t="s">
        <v>52</v>
      </c>
      <c r="J332">
        <v>0</v>
      </c>
    </row>
    <row r="333" spans="1:10">
      <c r="A333">
        <v>332</v>
      </c>
      <c r="B333" t="s">
        <v>17</v>
      </c>
      <c r="C333" t="s">
        <v>18</v>
      </c>
      <c r="D333" t="s">
        <v>19</v>
      </c>
      <c r="E333" t="s">
        <v>45</v>
      </c>
      <c r="F333" t="s">
        <v>55</v>
      </c>
      <c r="G333" t="s">
        <v>41</v>
      </c>
      <c r="H333" t="s">
        <v>51</v>
      </c>
      <c r="I333" t="s">
        <v>47</v>
      </c>
      <c r="J333">
        <v>0</v>
      </c>
    </row>
    <row r="334" spans="1:10">
      <c r="A334">
        <v>333</v>
      </c>
      <c r="B334" t="s">
        <v>17</v>
      </c>
      <c r="C334" t="s">
        <v>18</v>
      </c>
      <c r="D334" t="s">
        <v>19</v>
      </c>
      <c r="E334" t="s">
        <v>40</v>
      </c>
      <c r="F334" t="s">
        <v>41</v>
      </c>
      <c r="G334" t="s">
        <v>49</v>
      </c>
      <c r="H334" t="s">
        <v>67</v>
      </c>
      <c r="I334" t="s">
        <v>47</v>
      </c>
      <c r="J334">
        <v>0</v>
      </c>
    </row>
    <row r="335" spans="1:10">
      <c r="A335">
        <v>334</v>
      </c>
      <c r="B335" t="s">
        <v>36</v>
      </c>
      <c r="C335" t="s">
        <v>67</v>
      </c>
      <c r="D335" t="s">
        <v>19</v>
      </c>
      <c r="E335" t="s">
        <v>40</v>
      </c>
      <c r="F335" t="s">
        <v>41</v>
      </c>
      <c r="G335" t="s">
        <v>67</v>
      </c>
      <c r="H335" t="s">
        <v>67</v>
      </c>
      <c r="I335" t="s">
        <v>41</v>
      </c>
      <c r="J335">
        <v>0</v>
      </c>
    </row>
    <row r="336" spans="1:10">
      <c r="A336">
        <v>335</v>
      </c>
      <c r="B336" t="s">
        <v>36</v>
      </c>
      <c r="C336" t="s">
        <v>67</v>
      </c>
      <c r="D336" t="s">
        <v>19</v>
      </c>
      <c r="E336" t="s">
        <v>40</v>
      </c>
      <c r="F336" t="s">
        <v>67</v>
      </c>
      <c r="G336" t="s">
        <v>67</v>
      </c>
      <c r="H336" t="s">
        <v>67</v>
      </c>
      <c r="I336" t="s">
        <v>67</v>
      </c>
      <c r="J336">
        <v>0</v>
      </c>
    </row>
    <row r="337" spans="1:10">
      <c r="A337">
        <v>336</v>
      </c>
      <c r="B337" t="s">
        <v>36</v>
      </c>
      <c r="C337" t="s">
        <v>67</v>
      </c>
      <c r="D337" t="s">
        <v>34</v>
      </c>
      <c r="E337" t="s">
        <v>67</v>
      </c>
      <c r="F337" t="s">
        <v>67</v>
      </c>
      <c r="G337" t="s">
        <v>67</v>
      </c>
      <c r="H337" t="s">
        <v>67</v>
      </c>
      <c r="I337" t="s">
        <v>67</v>
      </c>
      <c r="J337">
        <v>0</v>
      </c>
    </row>
    <row r="338" spans="1:10">
      <c r="A338">
        <v>337</v>
      </c>
      <c r="B338" t="s">
        <v>17</v>
      </c>
      <c r="C338" t="s">
        <v>25</v>
      </c>
      <c r="D338" t="s">
        <v>19</v>
      </c>
      <c r="E338" t="s">
        <v>48</v>
      </c>
      <c r="F338" t="s">
        <v>41</v>
      </c>
      <c r="G338" t="s">
        <v>41</v>
      </c>
      <c r="H338" t="s">
        <v>43</v>
      </c>
      <c r="I338" t="s">
        <v>54</v>
      </c>
      <c r="J338">
        <v>0</v>
      </c>
    </row>
    <row r="339" spans="1:10">
      <c r="A339">
        <v>338</v>
      </c>
      <c r="B339" t="s">
        <v>17</v>
      </c>
      <c r="C339" t="s">
        <v>25</v>
      </c>
      <c r="D339" t="s">
        <v>19</v>
      </c>
      <c r="E339" t="s">
        <v>58</v>
      </c>
      <c r="F339" t="s">
        <v>41</v>
      </c>
      <c r="G339" t="s">
        <v>41</v>
      </c>
      <c r="H339" t="s">
        <v>67</v>
      </c>
      <c r="I339" t="s">
        <v>41</v>
      </c>
      <c r="J339">
        <v>0</v>
      </c>
    </row>
    <row r="340" spans="1:10">
      <c r="A340">
        <v>339</v>
      </c>
      <c r="B340" t="s">
        <v>22</v>
      </c>
      <c r="C340" t="s">
        <v>25</v>
      </c>
      <c r="D340" t="s">
        <v>33</v>
      </c>
      <c r="E340" t="s">
        <v>42</v>
      </c>
      <c r="F340" t="s">
        <v>41</v>
      </c>
      <c r="G340" t="s">
        <v>41</v>
      </c>
      <c r="H340" t="s">
        <v>41</v>
      </c>
      <c r="I340" t="s">
        <v>41</v>
      </c>
      <c r="J340">
        <v>0</v>
      </c>
    </row>
    <row r="341" spans="1:10">
      <c r="A341">
        <v>340</v>
      </c>
      <c r="B341" t="s">
        <v>22</v>
      </c>
      <c r="C341" t="s">
        <v>25</v>
      </c>
      <c r="D341" t="s">
        <v>33</v>
      </c>
      <c r="E341" t="s">
        <v>45</v>
      </c>
      <c r="F341" t="s">
        <v>41</v>
      </c>
      <c r="G341" t="s">
        <v>41</v>
      </c>
      <c r="H341" t="s">
        <v>57</v>
      </c>
      <c r="I341" t="s">
        <v>41</v>
      </c>
      <c r="J341">
        <v>0</v>
      </c>
    </row>
    <row r="342" spans="1:10">
      <c r="A342">
        <v>341</v>
      </c>
      <c r="B342" t="s">
        <v>17</v>
      </c>
      <c r="C342" t="s">
        <v>23</v>
      </c>
      <c r="D342" t="s">
        <v>19</v>
      </c>
      <c r="E342" t="s">
        <v>48</v>
      </c>
      <c r="F342" t="s">
        <v>41</v>
      </c>
      <c r="G342" t="s">
        <v>41</v>
      </c>
      <c r="H342" t="s">
        <v>67</v>
      </c>
      <c r="I342" t="s">
        <v>41</v>
      </c>
      <c r="J342">
        <v>0</v>
      </c>
    </row>
    <row r="343" spans="1:10">
      <c r="A343">
        <v>342</v>
      </c>
      <c r="B343" t="s">
        <v>17</v>
      </c>
      <c r="C343" t="s">
        <v>25</v>
      </c>
      <c r="D343" t="s">
        <v>19</v>
      </c>
      <c r="E343" t="s">
        <v>58</v>
      </c>
      <c r="F343" t="s">
        <v>41</v>
      </c>
      <c r="G343" t="s">
        <v>41</v>
      </c>
      <c r="H343" t="s">
        <v>67</v>
      </c>
      <c r="I343" t="s">
        <v>52</v>
      </c>
      <c r="J343">
        <v>0</v>
      </c>
    </row>
    <row r="344" spans="1:10">
      <c r="A344">
        <v>343</v>
      </c>
      <c r="B344" t="s">
        <v>17</v>
      </c>
      <c r="C344" t="s">
        <v>23</v>
      </c>
      <c r="D344" t="s">
        <v>19</v>
      </c>
      <c r="E344" t="s">
        <v>48</v>
      </c>
      <c r="F344" t="s">
        <v>61</v>
      </c>
      <c r="G344" t="s">
        <v>41</v>
      </c>
      <c r="H344" t="s">
        <v>63</v>
      </c>
      <c r="I344" t="s">
        <v>53</v>
      </c>
      <c r="J344">
        <v>0</v>
      </c>
    </row>
    <row r="345" spans="1:10">
      <c r="A345">
        <v>344</v>
      </c>
      <c r="B345" t="s">
        <v>17</v>
      </c>
      <c r="C345" t="s">
        <v>18</v>
      </c>
      <c r="D345" t="s">
        <v>19</v>
      </c>
      <c r="E345" t="s">
        <v>48</v>
      </c>
      <c r="F345" t="s">
        <v>60</v>
      </c>
      <c r="G345" t="s">
        <v>41</v>
      </c>
      <c r="H345" t="s">
        <v>67</v>
      </c>
      <c r="I345" t="s">
        <v>53</v>
      </c>
      <c r="J345">
        <v>0</v>
      </c>
    </row>
    <row r="346" spans="1:10">
      <c r="A346">
        <v>345</v>
      </c>
      <c r="B346" t="s">
        <v>17</v>
      </c>
      <c r="C346" t="s">
        <v>25</v>
      </c>
      <c r="D346" t="s">
        <v>26</v>
      </c>
      <c r="E346" t="s">
        <v>42</v>
      </c>
      <c r="F346" t="s">
        <v>41</v>
      </c>
      <c r="G346" t="s">
        <v>41</v>
      </c>
      <c r="H346" t="s">
        <v>41</v>
      </c>
      <c r="I346" t="s">
        <v>52</v>
      </c>
      <c r="J346">
        <v>0</v>
      </c>
    </row>
    <row r="347" spans="1:10">
      <c r="A347">
        <v>346</v>
      </c>
      <c r="B347" t="s">
        <v>17</v>
      </c>
      <c r="C347" t="s">
        <v>25</v>
      </c>
      <c r="D347" t="s">
        <v>26</v>
      </c>
      <c r="E347" t="s">
        <v>45</v>
      </c>
      <c r="F347" t="s">
        <v>41</v>
      </c>
      <c r="G347" t="s">
        <v>41</v>
      </c>
      <c r="H347" t="s">
        <v>57</v>
      </c>
      <c r="I347" t="s">
        <v>54</v>
      </c>
      <c r="J347">
        <v>0</v>
      </c>
    </row>
    <row r="348" spans="1:10">
      <c r="A348">
        <v>347</v>
      </c>
      <c r="B348" t="s">
        <v>17</v>
      </c>
      <c r="C348" t="s">
        <v>18</v>
      </c>
      <c r="D348" t="s">
        <v>19</v>
      </c>
      <c r="E348" t="s">
        <v>58</v>
      </c>
      <c r="F348" t="s">
        <v>50</v>
      </c>
      <c r="G348" t="s">
        <v>65</v>
      </c>
      <c r="H348" t="s">
        <v>67</v>
      </c>
      <c r="I348" t="s">
        <v>52</v>
      </c>
      <c r="J348">
        <v>0</v>
      </c>
    </row>
    <row r="349" spans="1:10">
      <c r="A349">
        <v>348</v>
      </c>
      <c r="B349" t="s">
        <v>17</v>
      </c>
      <c r="C349" t="s">
        <v>18</v>
      </c>
      <c r="D349" t="s">
        <v>19</v>
      </c>
      <c r="E349" t="s">
        <v>42</v>
      </c>
      <c r="F349" t="s">
        <v>55</v>
      </c>
      <c r="G349" t="s">
        <v>56</v>
      </c>
      <c r="H349" t="s">
        <v>67</v>
      </c>
      <c r="I349" t="s">
        <v>47</v>
      </c>
      <c r="J349">
        <v>0</v>
      </c>
    </row>
    <row r="350" spans="1:10">
      <c r="A350">
        <v>349</v>
      </c>
      <c r="B350" t="s">
        <v>17</v>
      </c>
      <c r="C350" t="s">
        <v>18</v>
      </c>
      <c r="D350" t="s">
        <v>19</v>
      </c>
      <c r="E350" t="s">
        <v>58</v>
      </c>
      <c r="F350" t="s">
        <v>50</v>
      </c>
      <c r="G350" t="s">
        <v>64</v>
      </c>
      <c r="H350" t="s">
        <v>67</v>
      </c>
      <c r="I350" t="s">
        <v>62</v>
      </c>
      <c r="J350">
        <v>0</v>
      </c>
    </row>
    <row r="351" spans="1:10">
      <c r="A351">
        <v>350</v>
      </c>
      <c r="B351" t="s">
        <v>17</v>
      </c>
      <c r="C351" t="s">
        <v>18</v>
      </c>
      <c r="D351" t="s">
        <v>19</v>
      </c>
      <c r="E351" t="s">
        <v>48</v>
      </c>
      <c r="F351" t="s">
        <v>61</v>
      </c>
      <c r="G351" t="s">
        <v>41</v>
      </c>
      <c r="H351" t="s">
        <v>63</v>
      </c>
      <c r="I351" t="s">
        <v>62</v>
      </c>
      <c r="J351">
        <v>0</v>
      </c>
    </row>
    <row r="352" spans="1:10">
      <c r="A352">
        <v>351</v>
      </c>
      <c r="B352" t="s">
        <v>17</v>
      </c>
      <c r="C352" t="s">
        <v>18</v>
      </c>
      <c r="D352" t="s">
        <v>19</v>
      </c>
      <c r="E352" t="s">
        <v>45</v>
      </c>
      <c r="F352" t="s">
        <v>61</v>
      </c>
      <c r="G352" t="s">
        <v>65</v>
      </c>
      <c r="H352" t="s">
        <v>63</v>
      </c>
      <c r="I352" t="s">
        <v>62</v>
      </c>
      <c r="J352">
        <v>0</v>
      </c>
    </row>
    <row r="353" spans="1:10">
      <c r="A353">
        <v>352</v>
      </c>
      <c r="B353" t="s">
        <v>17</v>
      </c>
      <c r="C353" t="s">
        <v>18</v>
      </c>
      <c r="D353" t="s">
        <v>19</v>
      </c>
      <c r="E353" t="s">
        <v>45</v>
      </c>
      <c r="F353" t="s">
        <v>61</v>
      </c>
      <c r="G353" t="s">
        <v>56</v>
      </c>
      <c r="H353" t="s">
        <v>43</v>
      </c>
      <c r="I353" t="s">
        <v>47</v>
      </c>
      <c r="J353">
        <v>0</v>
      </c>
    </row>
    <row r="354" spans="1:10">
      <c r="A354">
        <v>353</v>
      </c>
      <c r="B354" t="s">
        <v>17</v>
      </c>
      <c r="C354" t="s">
        <v>18</v>
      </c>
      <c r="D354" t="s">
        <v>19</v>
      </c>
      <c r="E354" t="s">
        <v>45</v>
      </c>
      <c r="F354" t="s">
        <v>67</v>
      </c>
      <c r="G354" t="s">
        <v>65</v>
      </c>
      <c r="H354" t="s">
        <v>41</v>
      </c>
      <c r="I354" t="s">
        <v>62</v>
      </c>
      <c r="J354">
        <v>0</v>
      </c>
    </row>
    <row r="355" spans="1:10">
      <c r="A355">
        <v>354</v>
      </c>
      <c r="B355" t="s">
        <v>17</v>
      </c>
      <c r="C355" t="s">
        <v>18</v>
      </c>
      <c r="D355" t="s">
        <v>19</v>
      </c>
      <c r="E355" t="s">
        <v>45</v>
      </c>
      <c r="F355" t="s">
        <v>61</v>
      </c>
      <c r="G355" t="s">
        <v>65</v>
      </c>
      <c r="H355" t="s">
        <v>51</v>
      </c>
      <c r="I355" t="s">
        <v>47</v>
      </c>
      <c r="J355">
        <v>0</v>
      </c>
    </row>
    <row r="356" spans="1:10">
      <c r="A356">
        <v>355</v>
      </c>
      <c r="B356" t="s">
        <v>17</v>
      </c>
      <c r="C356" t="s">
        <v>18</v>
      </c>
      <c r="D356" t="s">
        <v>19</v>
      </c>
      <c r="E356" t="s">
        <v>48</v>
      </c>
      <c r="F356" t="s">
        <v>61</v>
      </c>
      <c r="G356" t="s">
        <v>64</v>
      </c>
      <c r="H356" t="s">
        <v>66</v>
      </c>
      <c r="I356" t="s">
        <v>59</v>
      </c>
      <c r="J356">
        <v>0</v>
      </c>
    </row>
    <row r="357" spans="1:10">
      <c r="A357">
        <v>356</v>
      </c>
      <c r="B357" t="s">
        <v>36</v>
      </c>
      <c r="C357" t="s">
        <v>67</v>
      </c>
      <c r="D357" t="s">
        <v>32</v>
      </c>
      <c r="E357" t="s">
        <v>42</v>
      </c>
      <c r="F357" t="s">
        <v>41</v>
      </c>
      <c r="G357" t="s">
        <v>49</v>
      </c>
      <c r="H357" t="s">
        <v>67</v>
      </c>
      <c r="I357" t="s">
        <v>41</v>
      </c>
      <c r="J357">
        <v>0</v>
      </c>
    </row>
    <row r="358" spans="1:10">
      <c r="A358">
        <v>357</v>
      </c>
      <c r="B358" t="s">
        <v>36</v>
      </c>
      <c r="C358" t="s">
        <v>67</v>
      </c>
      <c r="D358" t="s">
        <v>19</v>
      </c>
      <c r="E358" t="s">
        <v>40</v>
      </c>
      <c r="F358" t="s">
        <v>55</v>
      </c>
      <c r="G358" t="s">
        <v>67</v>
      </c>
      <c r="H358" t="s">
        <v>67</v>
      </c>
      <c r="I358" t="s">
        <v>52</v>
      </c>
      <c r="J358">
        <v>0</v>
      </c>
    </row>
    <row r="359" spans="1:10">
      <c r="A359">
        <v>358</v>
      </c>
      <c r="B359" t="s">
        <v>36</v>
      </c>
      <c r="C359" t="s">
        <v>67</v>
      </c>
      <c r="D359" t="s">
        <v>19</v>
      </c>
      <c r="E359" t="s">
        <v>58</v>
      </c>
      <c r="F359" t="s">
        <v>55</v>
      </c>
      <c r="G359" t="s">
        <v>49</v>
      </c>
      <c r="H359" t="s">
        <v>67</v>
      </c>
      <c r="I359" t="s">
        <v>53</v>
      </c>
      <c r="J359">
        <v>0</v>
      </c>
    </row>
    <row r="360" spans="1:10">
      <c r="A360">
        <v>359</v>
      </c>
      <c r="B360" t="s">
        <v>36</v>
      </c>
      <c r="C360" t="s">
        <v>67</v>
      </c>
      <c r="D360" t="s">
        <v>19</v>
      </c>
      <c r="E360" t="s">
        <v>58</v>
      </c>
      <c r="F360" t="s">
        <v>41</v>
      </c>
      <c r="G360" t="s">
        <v>41</v>
      </c>
      <c r="H360" t="s">
        <v>67</v>
      </c>
      <c r="I360" t="s">
        <v>54</v>
      </c>
      <c r="J360">
        <v>0</v>
      </c>
    </row>
    <row r="361" spans="1:10">
      <c r="A361">
        <v>360</v>
      </c>
      <c r="B361" t="s">
        <v>36</v>
      </c>
      <c r="C361" t="s">
        <v>67</v>
      </c>
      <c r="D361" t="s">
        <v>39</v>
      </c>
      <c r="E361" t="s">
        <v>42</v>
      </c>
      <c r="F361" t="s">
        <v>55</v>
      </c>
      <c r="G361" t="s">
        <v>41</v>
      </c>
      <c r="H361" t="s">
        <v>67</v>
      </c>
      <c r="I361" t="s">
        <v>52</v>
      </c>
      <c r="J361">
        <v>0</v>
      </c>
    </row>
    <row r="362" spans="1:10">
      <c r="A362">
        <v>361</v>
      </c>
      <c r="B362" t="s">
        <v>36</v>
      </c>
      <c r="C362" t="s">
        <v>67</v>
      </c>
      <c r="D362" t="s">
        <v>19</v>
      </c>
      <c r="E362" t="s">
        <v>58</v>
      </c>
      <c r="F362" t="s">
        <v>41</v>
      </c>
      <c r="G362" t="s">
        <v>41</v>
      </c>
      <c r="H362" t="s">
        <v>67</v>
      </c>
      <c r="I362" t="s">
        <v>44</v>
      </c>
      <c r="J362">
        <v>0</v>
      </c>
    </row>
    <row r="363" spans="1:10">
      <c r="A363">
        <v>362</v>
      </c>
      <c r="B363" t="s">
        <v>36</v>
      </c>
      <c r="C363" t="s">
        <v>67</v>
      </c>
      <c r="D363" t="s">
        <v>19</v>
      </c>
      <c r="E363" t="s">
        <v>58</v>
      </c>
      <c r="F363" t="s">
        <v>41</v>
      </c>
      <c r="G363" t="s">
        <v>49</v>
      </c>
      <c r="H363" t="s">
        <v>67</v>
      </c>
      <c r="I363" t="s">
        <v>41</v>
      </c>
      <c r="J363">
        <v>0</v>
      </c>
    </row>
    <row r="364" spans="1:10">
      <c r="A364">
        <v>363</v>
      </c>
      <c r="B364" t="s">
        <v>36</v>
      </c>
      <c r="C364" t="s">
        <v>67</v>
      </c>
      <c r="D364" t="s">
        <v>19</v>
      </c>
      <c r="E364" t="s">
        <v>42</v>
      </c>
      <c r="F364" t="s">
        <v>41</v>
      </c>
      <c r="G364" t="s">
        <v>41</v>
      </c>
      <c r="H364" t="s">
        <v>67</v>
      </c>
      <c r="I364" t="s">
        <v>41</v>
      </c>
      <c r="J364">
        <v>0</v>
      </c>
    </row>
    <row r="365" spans="1:10">
      <c r="A365">
        <v>364</v>
      </c>
      <c r="B365" t="s">
        <v>36</v>
      </c>
      <c r="C365" t="s">
        <v>67</v>
      </c>
      <c r="D365" t="s">
        <v>30</v>
      </c>
      <c r="E365" t="s">
        <v>40</v>
      </c>
      <c r="F365" t="s">
        <v>41</v>
      </c>
      <c r="G365" t="s">
        <v>41</v>
      </c>
      <c r="H365" t="s">
        <v>67</v>
      </c>
      <c r="I365" t="s">
        <v>52</v>
      </c>
      <c r="J365">
        <v>0</v>
      </c>
    </row>
    <row r="366" spans="1:10">
      <c r="A366">
        <v>365</v>
      </c>
      <c r="B366" t="s">
        <v>36</v>
      </c>
      <c r="C366" t="s">
        <v>67</v>
      </c>
      <c r="D366" t="s">
        <v>19</v>
      </c>
      <c r="E366" t="s">
        <v>40</v>
      </c>
      <c r="F366" t="s">
        <v>67</v>
      </c>
      <c r="G366" t="s">
        <v>67</v>
      </c>
      <c r="H366" t="s">
        <v>67</v>
      </c>
      <c r="I366" t="s">
        <v>44</v>
      </c>
      <c r="J366">
        <v>0</v>
      </c>
    </row>
    <row r="367" spans="1:10">
      <c r="A367">
        <v>366</v>
      </c>
      <c r="B367" t="s">
        <v>36</v>
      </c>
      <c r="C367" t="s">
        <v>67</v>
      </c>
      <c r="D367" t="s">
        <v>19</v>
      </c>
      <c r="E367" t="s">
        <v>48</v>
      </c>
      <c r="F367" t="s">
        <v>41</v>
      </c>
      <c r="G367" t="s">
        <v>41</v>
      </c>
      <c r="H367" t="s">
        <v>67</v>
      </c>
      <c r="I367" t="s">
        <v>41</v>
      </c>
      <c r="J367">
        <v>0</v>
      </c>
    </row>
    <row r="368" spans="1:10">
      <c r="A368">
        <v>367</v>
      </c>
      <c r="B368" t="s">
        <v>36</v>
      </c>
      <c r="C368" t="s">
        <v>67</v>
      </c>
      <c r="D368" t="s">
        <v>19</v>
      </c>
      <c r="E368" t="s">
        <v>40</v>
      </c>
      <c r="F368" t="s">
        <v>67</v>
      </c>
      <c r="G368" t="s">
        <v>67</v>
      </c>
      <c r="H368" t="s">
        <v>67</v>
      </c>
      <c r="I368" t="s">
        <v>67</v>
      </c>
      <c r="J368">
        <v>0</v>
      </c>
    </row>
    <row r="369" spans="1:10">
      <c r="A369">
        <v>368</v>
      </c>
      <c r="B369" t="s">
        <v>36</v>
      </c>
      <c r="C369" t="s">
        <v>67</v>
      </c>
      <c r="D369" t="s">
        <v>19</v>
      </c>
      <c r="E369" t="s">
        <v>58</v>
      </c>
      <c r="F369" t="s">
        <v>41</v>
      </c>
      <c r="G369" t="s">
        <v>41</v>
      </c>
      <c r="H369" t="s">
        <v>67</v>
      </c>
      <c r="I369" t="s">
        <v>67</v>
      </c>
      <c r="J369">
        <v>0</v>
      </c>
    </row>
    <row r="370" spans="1:10">
      <c r="A370">
        <v>369</v>
      </c>
      <c r="B370" t="s">
        <v>36</v>
      </c>
      <c r="C370" t="s">
        <v>67</v>
      </c>
      <c r="D370" t="s">
        <v>34</v>
      </c>
      <c r="E370" t="s">
        <v>48</v>
      </c>
      <c r="F370" t="s">
        <v>60</v>
      </c>
      <c r="G370" t="s">
        <v>49</v>
      </c>
      <c r="H370" t="s">
        <v>67</v>
      </c>
      <c r="I370" t="s">
        <v>67</v>
      </c>
      <c r="J370">
        <v>0</v>
      </c>
    </row>
    <row r="371" spans="1:10">
      <c r="A371">
        <v>370</v>
      </c>
      <c r="B371" t="s">
        <v>36</v>
      </c>
      <c r="C371" t="s">
        <v>67</v>
      </c>
      <c r="D371" t="s">
        <v>32</v>
      </c>
      <c r="E371" t="s">
        <v>58</v>
      </c>
      <c r="F371" t="s">
        <v>41</v>
      </c>
      <c r="G371" t="s">
        <v>41</v>
      </c>
      <c r="H371" t="s">
        <v>67</v>
      </c>
      <c r="I371" t="s">
        <v>52</v>
      </c>
      <c r="J371">
        <v>0</v>
      </c>
    </row>
    <row r="372" spans="1:10">
      <c r="A372">
        <v>371</v>
      </c>
      <c r="B372" t="s">
        <v>17</v>
      </c>
      <c r="C372" t="s">
        <v>18</v>
      </c>
      <c r="D372" t="s">
        <v>19</v>
      </c>
      <c r="E372" t="s">
        <v>40</v>
      </c>
      <c r="F372" t="s">
        <v>41</v>
      </c>
      <c r="G372" t="s">
        <v>41</v>
      </c>
      <c r="H372" t="s">
        <v>46</v>
      </c>
      <c r="I372" t="s">
        <v>52</v>
      </c>
      <c r="J372">
        <v>0</v>
      </c>
    </row>
    <row r="373" spans="1:10">
      <c r="A373">
        <v>372</v>
      </c>
      <c r="B373" t="s">
        <v>17</v>
      </c>
      <c r="C373" t="s">
        <v>18</v>
      </c>
      <c r="D373" t="s">
        <v>30</v>
      </c>
      <c r="E373" t="s">
        <v>48</v>
      </c>
      <c r="F373" t="s">
        <v>60</v>
      </c>
      <c r="G373" t="s">
        <v>41</v>
      </c>
      <c r="H373" t="s">
        <v>67</v>
      </c>
      <c r="I373" t="s">
        <v>53</v>
      </c>
      <c r="J373">
        <v>0</v>
      </c>
    </row>
    <row r="374" spans="1:10">
      <c r="A374">
        <v>373</v>
      </c>
      <c r="B374" t="s">
        <v>20</v>
      </c>
      <c r="C374" t="s">
        <v>25</v>
      </c>
      <c r="D374" t="s">
        <v>19</v>
      </c>
      <c r="E374" t="s">
        <v>48</v>
      </c>
      <c r="F374" t="s">
        <v>41</v>
      </c>
      <c r="G374" t="s">
        <v>41</v>
      </c>
      <c r="H374" t="s">
        <v>67</v>
      </c>
      <c r="I374" t="s">
        <v>44</v>
      </c>
      <c r="J374">
        <v>0</v>
      </c>
    </row>
    <row r="375" spans="1:10">
      <c r="A375">
        <v>374</v>
      </c>
      <c r="B375" t="s">
        <v>17</v>
      </c>
      <c r="C375" t="s">
        <v>23</v>
      </c>
      <c r="D375" t="s">
        <v>19</v>
      </c>
      <c r="E375" t="s">
        <v>40</v>
      </c>
      <c r="F375" t="s">
        <v>67</v>
      </c>
      <c r="G375" t="s">
        <v>41</v>
      </c>
      <c r="H375" t="s">
        <v>67</v>
      </c>
      <c r="I375" t="s">
        <v>44</v>
      </c>
      <c r="J375">
        <v>0</v>
      </c>
    </row>
    <row r="376" spans="1:10">
      <c r="A376">
        <v>375</v>
      </c>
      <c r="B376" t="s">
        <v>22</v>
      </c>
      <c r="C376" t="s">
        <v>21</v>
      </c>
      <c r="D376" t="s">
        <v>33</v>
      </c>
      <c r="E376" t="s">
        <v>40</v>
      </c>
      <c r="F376" t="s">
        <v>41</v>
      </c>
      <c r="G376" t="s">
        <v>41</v>
      </c>
      <c r="H376" t="s">
        <v>67</v>
      </c>
      <c r="I376" t="s">
        <v>41</v>
      </c>
      <c r="J376">
        <v>0</v>
      </c>
    </row>
    <row r="377" spans="1:10">
      <c r="A377">
        <v>376</v>
      </c>
      <c r="B377" t="s">
        <v>17</v>
      </c>
      <c r="C377" t="s">
        <v>18</v>
      </c>
      <c r="D377" t="s">
        <v>30</v>
      </c>
      <c r="E377" t="s">
        <v>48</v>
      </c>
      <c r="F377" t="s">
        <v>55</v>
      </c>
      <c r="G377" t="s">
        <v>49</v>
      </c>
      <c r="H377" t="s">
        <v>41</v>
      </c>
      <c r="I377" t="s">
        <v>52</v>
      </c>
      <c r="J377">
        <v>0</v>
      </c>
    </row>
    <row r="378" spans="1:10">
      <c r="A378">
        <v>377</v>
      </c>
      <c r="B378" t="s">
        <v>17</v>
      </c>
      <c r="C378" t="s">
        <v>18</v>
      </c>
      <c r="D378" t="s">
        <v>30</v>
      </c>
      <c r="E378" t="s">
        <v>48</v>
      </c>
      <c r="F378" t="s">
        <v>41</v>
      </c>
      <c r="G378" t="s">
        <v>41</v>
      </c>
      <c r="H378" t="s">
        <v>63</v>
      </c>
      <c r="I378" t="s">
        <v>44</v>
      </c>
      <c r="J378">
        <v>0</v>
      </c>
    </row>
    <row r="379" spans="1:10">
      <c r="A379">
        <v>378</v>
      </c>
      <c r="B379" t="s">
        <v>17</v>
      </c>
      <c r="C379" t="s">
        <v>18</v>
      </c>
      <c r="D379" t="s">
        <v>30</v>
      </c>
      <c r="E379" t="s">
        <v>58</v>
      </c>
      <c r="F379" t="s">
        <v>41</v>
      </c>
      <c r="G379" t="s">
        <v>49</v>
      </c>
      <c r="H379" t="s">
        <v>67</v>
      </c>
      <c r="I379" t="s">
        <v>44</v>
      </c>
      <c r="J379">
        <v>0</v>
      </c>
    </row>
    <row r="380" spans="1:10">
      <c r="A380">
        <v>379</v>
      </c>
      <c r="B380" t="s">
        <v>17</v>
      </c>
      <c r="C380" t="s">
        <v>18</v>
      </c>
      <c r="D380" t="s">
        <v>32</v>
      </c>
      <c r="E380" t="s">
        <v>40</v>
      </c>
      <c r="F380" t="s">
        <v>41</v>
      </c>
      <c r="G380" t="s">
        <v>67</v>
      </c>
      <c r="H380" t="s">
        <v>57</v>
      </c>
      <c r="I380" t="s">
        <v>41</v>
      </c>
      <c r="J380">
        <v>0</v>
      </c>
    </row>
    <row r="381" spans="1:10">
      <c r="A381">
        <v>380</v>
      </c>
      <c r="B381" t="s">
        <v>17</v>
      </c>
      <c r="C381" t="s">
        <v>25</v>
      </c>
      <c r="D381" t="s">
        <v>39</v>
      </c>
      <c r="E381" t="s">
        <v>48</v>
      </c>
      <c r="F381" t="s">
        <v>55</v>
      </c>
      <c r="G381" t="s">
        <v>41</v>
      </c>
      <c r="H381" t="s">
        <v>66</v>
      </c>
      <c r="I381" t="s">
        <v>47</v>
      </c>
      <c r="J381">
        <v>0</v>
      </c>
    </row>
    <row r="382" spans="1:10">
      <c r="A382">
        <v>381</v>
      </c>
      <c r="B382" t="s">
        <v>17</v>
      </c>
      <c r="C382" t="s">
        <v>25</v>
      </c>
      <c r="D382" t="s">
        <v>26</v>
      </c>
      <c r="E382" t="s">
        <v>42</v>
      </c>
      <c r="F382" t="s">
        <v>55</v>
      </c>
      <c r="G382" t="s">
        <v>64</v>
      </c>
      <c r="H382" t="s">
        <v>41</v>
      </c>
      <c r="I382" t="s">
        <v>47</v>
      </c>
      <c r="J382">
        <v>0</v>
      </c>
    </row>
    <row r="383" spans="1:10">
      <c r="A383">
        <v>382</v>
      </c>
      <c r="B383" t="s">
        <v>17</v>
      </c>
      <c r="C383" t="s">
        <v>25</v>
      </c>
      <c r="D383" t="s">
        <v>26</v>
      </c>
      <c r="E383" t="s">
        <v>45</v>
      </c>
      <c r="F383" t="s">
        <v>41</v>
      </c>
      <c r="G383" t="s">
        <v>41</v>
      </c>
      <c r="H383" t="s">
        <v>41</v>
      </c>
      <c r="I383" t="s">
        <v>44</v>
      </c>
      <c r="J383">
        <v>0</v>
      </c>
    </row>
    <row r="384" spans="1:10">
      <c r="A384">
        <v>383</v>
      </c>
      <c r="B384" t="s">
        <v>17</v>
      </c>
      <c r="C384" t="s">
        <v>25</v>
      </c>
      <c r="D384" t="s">
        <v>38</v>
      </c>
      <c r="E384" t="s">
        <v>45</v>
      </c>
      <c r="F384" t="s">
        <v>60</v>
      </c>
      <c r="G384" t="s">
        <v>41</v>
      </c>
      <c r="H384" t="s">
        <v>57</v>
      </c>
      <c r="I384" t="s">
        <v>53</v>
      </c>
      <c r="J384">
        <v>0</v>
      </c>
    </row>
    <row r="385" spans="1:10">
      <c r="A385">
        <v>384</v>
      </c>
      <c r="B385" t="s">
        <v>17</v>
      </c>
      <c r="C385" t="s">
        <v>25</v>
      </c>
      <c r="D385" t="s">
        <v>33</v>
      </c>
      <c r="E385" t="s">
        <v>58</v>
      </c>
      <c r="F385" t="s">
        <v>67</v>
      </c>
      <c r="G385" t="s">
        <v>67</v>
      </c>
      <c r="H385" t="s">
        <v>51</v>
      </c>
      <c r="I385" t="s">
        <v>41</v>
      </c>
      <c r="J385">
        <v>0</v>
      </c>
    </row>
    <row r="386" spans="1:10">
      <c r="A386">
        <v>385</v>
      </c>
      <c r="B386" t="s">
        <v>17</v>
      </c>
      <c r="C386" t="s">
        <v>18</v>
      </c>
      <c r="D386" t="s">
        <v>19</v>
      </c>
      <c r="E386" t="s">
        <v>48</v>
      </c>
      <c r="F386" t="s">
        <v>41</v>
      </c>
      <c r="G386" t="s">
        <v>67</v>
      </c>
      <c r="H386" t="s">
        <v>57</v>
      </c>
      <c r="I386" t="s">
        <v>54</v>
      </c>
      <c r="J386">
        <v>0</v>
      </c>
    </row>
    <row r="387" spans="1:10">
      <c r="A387">
        <v>386</v>
      </c>
      <c r="B387" t="s">
        <v>17</v>
      </c>
      <c r="C387" t="s">
        <v>18</v>
      </c>
      <c r="D387" t="s">
        <v>19</v>
      </c>
      <c r="E387" t="s">
        <v>58</v>
      </c>
      <c r="F387" t="s">
        <v>41</v>
      </c>
      <c r="G387" t="s">
        <v>67</v>
      </c>
      <c r="H387" t="s">
        <v>67</v>
      </c>
      <c r="I387" t="s">
        <v>41</v>
      </c>
      <c r="J387">
        <v>0</v>
      </c>
    </row>
    <row r="388" spans="1:10">
      <c r="A388">
        <v>387</v>
      </c>
      <c r="B388" t="s">
        <v>17</v>
      </c>
      <c r="C388" t="s">
        <v>18</v>
      </c>
      <c r="D388" t="s">
        <v>32</v>
      </c>
      <c r="E388" t="s">
        <v>40</v>
      </c>
      <c r="F388" t="s">
        <v>41</v>
      </c>
      <c r="G388" t="s">
        <v>67</v>
      </c>
      <c r="H388" t="s">
        <v>57</v>
      </c>
      <c r="I388" t="s">
        <v>41</v>
      </c>
      <c r="J388">
        <v>0</v>
      </c>
    </row>
    <row r="389" spans="1:10">
      <c r="A389">
        <v>388</v>
      </c>
      <c r="B389" t="s">
        <v>17</v>
      </c>
      <c r="C389" t="s">
        <v>25</v>
      </c>
      <c r="D389" t="s">
        <v>30</v>
      </c>
      <c r="E389" t="s">
        <v>58</v>
      </c>
      <c r="F389" t="s">
        <v>41</v>
      </c>
      <c r="G389" t="s">
        <v>65</v>
      </c>
      <c r="H389" t="s">
        <v>67</v>
      </c>
      <c r="I389" t="s">
        <v>41</v>
      </c>
      <c r="J389">
        <v>0</v>
      </c>
    </row>
    <row r="390" spans="1:10">
      <c r="A390">
        <v>389</v>
      </c>
      <c r="B390" t="s">
        <v>17</v>
      </c>
      <c r="C390" t="s">
        <v>18</v>
      </c>
      <c r="D390" t="s">
        <v>19</v>
      </c>
      <c r="E390" t="s">
        <v>40</v>
      </c>
      <c r="F390" t="s">
        <v>60</v>
      </c>
      <c r="G390" t="s">
        <v>41</v>
      </c>
      <c r="H390" t="s">
        <v>67</v>
      </c>
      <c r="I390" t="s">
        <v>59</v>
      </c>
      <c r="J390">
        <v>0</v>
      </c>
    </row>
    <row r="391" spans="1:10">
      <c r="A391">
        <v>390</v>
      </c>
      <c r="B391" t="s">
        <v>17</v>
      </c>
      <c r="C391" t="s">
        <v>23</v>
      </c>
      <c r="D391" t="s">
        <v>29</v>
      </c>
      <c r="E391" t="s">
        <v>40</v>
      </c>
      <c r="F391" t="s">
        <v>41</v>
      </c>
      <c r="G391" t="s">
        <v>41</v>
      </c>
      <c r="H391" t="s">
        <v>67</v>
      </c>
      <c r="I391" t="s">
        <v>44</v>
      </c>
      <c r="J391">
        <v>0</v>
      </c>
    </row>
    <row r="392" spans="1:10">
      <c r="A392">
        <v>391</v>
      </c>
      <c r="B392" t="s">
        <v>22</v>
      </c>
      <c r="C392" t="s">
        <v>21</v>
      </c>
      <c r="D392" t="s">
        <v>29</v>
      </c>
      <c r="E392" t="s">
        <v>40</v>
      </c>
      <c r="F392" t="s">
        <v>41</v>
      </c>
      <c r="G392" t="s">
        <v>41</v>
      </c>
      <c r="H392" t="s">
        <v>67</v>
      </c>
      <c r="I392" t="s">
        <v>41</v>
      </c>
      <c r="J392">
        <v>0</v>
      </c>
    </row>
    <row r="393" spans="1:10">
      <c r="A393">
        <v>392</v>
      </c>
      <c r="B393" t="s">
        <v>20</v>
      </c>
      <c r="C393" t="s">
        <v>21</v>
      </c>
      <c r="D393" t="s">
        <v>19</v>
      </c>
      <c r="E393" t="s">
        <v>48</v>
      </c>
      <c r="F393" t="s">
        <v>50</v>
      </c>
      <c r="G393" t="s">
        <v>65</v>
      </c>
      <c r="H393" t="s">
        <v>63</v>
      </c>
      <c r="I393" t="s">
        <v>62</v>
      </c>
      <c r="J393">
        <v>0</v>
      </c>
    </row>
    <row r="394" spans="1:10">
      <c r="A394">
        <v>393</v>
      </c>
      <c r="B394" t="s">
        <v>22</v>
      </c>
      <c r="C394" t="s">
        <v>21</v>
      </c>
      <c r="D394" t="s">
        <v>24</v>
      </c>
      <c r="E394" t="s">
        <v>40</v>
      </c>
      <c r="F394" t="s">
        <v>41</v>
      </c>
      <c r="G394" t="s">
        <v>41</v>
      </c>
      <c r="H394" t="s">
        <v>67</v>
      </c>
      <c r="I394" t="s">
        <v>44</v>
      </c>
      <c r="J394">
        <v>0</v>
      </c>
    </row>
    <row r="395" spans="1:10">
      <c r="A395">
        <v>394</v>
      </c>
      <c r="B395" t="s">
        <v>17</v>
      </c>
      <c r="C395" t="s">
        <v>18</v>
      </c>
      <c r="D395" t="s">
        <v>19</v>
      </c>
      <c r="E395" t="s">
        <v>42</v>
      </c>
      <c r="F395" t="s">
        <v>50</v>
      </c>
      <c r="G395" t="s">
        <v>41</v>
      </c>
      <c r="H395" t="s">
        <v>41</v>
      </c>
      <c r="I395" t="s">
        <v>47</v>
      </c>
      <c r="J395">
        <v>0</v>
      </c>
    </row>
    <row r="396" spans="1:10">
      <c r="A396">
        <v>395</v>
      </c>
      <c r="B396" t="s">
        <v>17</v>
      </c>
      <c r="C396" t="s">
        <v>18</v>
      </c>
      <c r="D396" t="s">
        <v>19</v>
      </c>
      <c r="E396" t="s">
        <v>42</v>
      </c>
      <c r="F396" t="s">
        <v>41</v>
      </c>
      <c r="G396" t="s">
        <v>41</v>
      </c>
      <c r="H396" t="s">
        <v>41</v>
      </c>
      <c r="I396" t="s">
        <v>54</v>
      </c>
      <c r="J396">
        <v>0</v>
      </c>
    </row>
    <row r="397" spans="1:10">
      <c r="A397">
        <v>396</v>
      </c>
      <c r="B397" t="s">
        <v>17</v>
      </c>
      <c r="C397" t="s">
        <v>18</v>
      </c>
      <c r="D397" t="s">
        <v>39</v>
      </c>
      <c r="E397" t="s">
        <v>48</v>
      </c>
      <c r="F397" t="s">
        <v>55</v>
      </c>
      <c r="G397" t="s">
        <v>41</v>
      </c>
      <c r="H397" t="s">
        <v>66</v>
      </c>
      <c r="I397" t="s">
        <v>52</v>
      </c>
      <c r="J397">
        <v>0</v>
      </c>
    </row>
    <row r="398" spans="1:10">
      <c r="A398">
        <v>397</v>
      </c>
      <c r="B398" t="s">
        <v>17</v>
      </c>
      <c r="C398" t="s">
        <v>21</v>
      </c>
      <c r="D398" t="s">
        <v>26</v>
      </c>
      <c r="E398" t="s">
        <v>40</v>
      </c>
      <c r="F398" t="s">
        <v>61</v>
      </c>
      <c r="G398" t="s">
        <v>64</v>
      </c>
      <c r="H398" t="s">
        <v>66</v>
      </c>
      <c r="I398" t="s">
        <v>59</v>
      </c>
      <c r="J398">
        <v>0</v>
      </c>
    </row>
    <row r="399" spans="1:10">
      <c r="A399">
        <v>398</v>
      </c>
      <c r="B399" t="s">
        <v>17</v>
      </c>
      <c r="C399" t="s">
        <v>21</v>
      </c>
      <c r="D399" t="s">
        <v>19</v>
      </c>
      <c r="E399" t="s">
        <v>40</v>
      </c>
      <c r="F399" t="s">
        <v>41</v>
      </c>
      <c r="G399" t="s">
        <v>41</v>
      </c>
      <c r="H399" t="s">
        <v>67</v>
      </c>
      <c r="I399" t="s">
        <v>44</v>
      </c>
      <c r="J399">
        <v>0</v>
      </c>
    </row>
    <row r="400" spans="1:10">
      <c r="A400">
        <v>399</v>
      </c>
      <c r="B400" t="s">
        <v>17</v>
      </c>
      <c r="C400" t="s">
        <v>18</v>
      </c>
      <c r="D400" t="s">
        <v>26</v>
      </c>
      <c r="E400" t="s">
        <v>58</v>
      </c>
      <c r="F400" t="s">
        <v>41</v>
      </c>
      <c r="G400" t="s">
        <v>41</v>
      </c>
      <c r="H400" t="s">
        <v>67</v>
      </c>
      <c r="I400" t="s">
        <v>41</v>
      </c>
      <c r="J400">
        <v>0</v>
      </c>
    </row>
    <row r="401" spans="1:10">
      <c r="A401">
        <v>400</v>
      </c>
      <c r="B401" t="s">
        <v>17</v>
      </c>
      <c r="C401" t="s">
        <v>18</v>
      </c>
      <c r="D401" t="s">
        <v>19</v>
      </c>
      <c r="E401" t="s">
        <v>40</v>
      </c>
      <c r="F401" t="s">
        <v>60</v>
      </c>
      <c r="G401" t="s">
        <v>49</v>
      </c>
      <c r="H401" t="s">
        <v>46</v>
      </c>
      <c r="I401" t="s">
        <v>59</v>
      </c>
      <c r="J401">
        <v>0</v>
      </c>
    </row>
    <row r="402" spans="1:10">
      <c r="A402">
        <v>401</v>
      </c>
      <c r="B402" t="s">
        <v>17</v>
      </c>
      <c r="C402" t="s">
        <v>18</v>
      </c>
      <c r="D402" t="s">
        <v>39</v>
      </c>
      <c r="E402" t="s">
        <v>40</v>
      </c>
      <c r="F402" t="s">
        <v>41</v>
      </c>
      <c r="G402" t="s">
        <v>49</v>
      </c>
      <c r="H402" t="s">
        <v>67</v>
      </c>
      <c r="I402" t="s">
        <v>54</v>
      </c>
      <c r="J402">
        <v>0</v>
      </c>
    </row>
    <row r="403" spans="1:10">
      <c r="A403">
        <v>402</v>
      </c>
      <c r="B403" t="s">
        <v>20</v>
      </c>
      <c r="C403" t="s">
        <v>21</v>
      </c>
      <c r="D403" t="s">
        <v>38</v>
      </c>
      <c r="E403" t="s">
        <v>48</v>
      </c>
      <c r="F403" t="s">
        <v>61</v>
      </c>
      <c r="G403" t="s">
        <v>65</v>
      </c>
      <c r="H403" t="s">
        <v>67</v>
      </c>
      <c r="I403" t="s">
        <v>47</v>
      </c>
      <c r="J403">
        <v>0</v>
      </c>
    </row>
    <row r="404" spans="1:10">
      <c r="A404">
        <v>403</v>
      </c>
      <c r="B404" t="s">
        <v>17</v>
      </c>
      <c r="C404" t="s">
        <v>23</v>
      </c>
      <c r="D404" t="s">
        <v>26</v>
      </c>
      <c r="E404" t="s">
        <v>58</v>
      </c>
      <c r="F404" t="s">
        <v>41</v>
      </c>
      <c r="G404" t="s">
        <v>49</v>
      </c>
      <c r="H404" t="s">
        <v>67</v>
      </c>
      <c r="I404" t="s">
        <v>41</v>
      </c>
      <c r="J404">
        <v>1</v>
      </c>
    </row>
    <row r="405" spans="1:10">
      <c r="A405">
        <v>404</v>
      </c>
      <c r="B405" t="s">
        <v>17</v>
      </c>
      <c r="C405" t="s">
        <v>18</v>
      </c>
      <c r="D405" t="s">
        <v>30</v>
      </c>
      <c r="E405" t="s">
        <v>48</v>
      </c>
      <c r="F405" t="s">
        <v>41</v>
      </c>
      <c r="G405" t="s">
        <v>41</v>
      </c>
      <c r="H405" t="s">
        <v>57</v>
      </c>
      <c r="I405" t="s">
        <v>41</v>
      </c>
      <c r="J405">
        <v>1</v>
      </c>
    </row>
    <row r="406" spans="1:10">
      <c r="A406">
        <v>405</v>
      </c>
      <c r="B406" t="s">
        <v>17</v>
      </c>
      <c r="C406" t="s">
        <v>25</v>
      </c>
      <c r="D406" t="s">
        <v>33</v>
      </c>
      <c r="E406" t="s">
        <v>58</v>
      </c>
      <c r="F406" t="s">
        <v>67</v>
      </c>
      <c r="G406" t="s">
        <v>67</v>
      </c>
      <c r="H406" t="s">
        <v>67</v>
      </c>
      <c r="I406" t="s">
        <v>41</v>
      </c>
      <c r="J406">
        <v>0</v>
      </c>
    </row>
    <row r="407" spans="1:10">
      <c r="A407">
        <v>406</v>
      </c>
      <c r="B407" t="s">
        <v>17</v>
      </c>
      <c r="C407" t="s">
        <v>25</v>
      </c>
      <c r="D407" t="s">
        <v>32</v>
      </c>
      <c r="E407" t="s">
        <v>45</v>
      </c>
      <c r="F407" t="s">
        <v>60</v>
      </c>
      <c r="G407" t="s">
        <v>41</v>
      </c>
      <c r="H407" t="s">
        <v>67</v>
      </c>
      <c r="I407" t="s">
        <v>53</v>
      </c>
      <c r="J407">
        <v>0</v>
      </c>
    </row>
    <row r="408" spans="1:10">
      <c r="A408">
        <v>407</v>
      </c>
      <c r="B408" t="s">
        <v>17</v>
      </c>
      <c r="C408" t="s">
        <v>18</v>
      </c>
      <c r="D408" t="s">
        <v>19</v>
      </c>
      <c r="E408" t="s">
        <v>42</v>
      </c>
      <c r="F408" t="s">
        <v>41</v>
      </c>
      <c r="G408" t="s">
        <v>49</v>
      </c>
      <c r="H408" t="s">
        <v>41</v>
      </c>
      <c r="I408" t="s">
        <v>53</v>
      </c>
      <c r="J408">
        <v>0</v>
      </c>
    </row>
    <row r="409" spans="1:10">
      <c r="A409">
        <v>408</v>
      </c>
      <c r="B409" t="s">
        <v>17</v>
      </c>
      <c r="C409" t="s">
        <v>18</v>
      </c>
      <c r="D409" t="s">
        <v>19</v>
      </c>
      <c r="E409" t="s">
        <v>42</v>
      </c>
      <c r="F409" t="s">
        <v>41</v>
      </c>
      <c r="G409" t="s">
        <v>64</v>
      </c>
      <c r="H409" t="s">
        <v>41</v>
      </c>
      <c r="I409" t="s">
        <v>52</v>
      </c>
      <c r="J409">
        <v>0</v>
      </c>
    </row>
    <row r="410" spans="1:10">
      <c r="A410">
        <v>409</v>
      </c>
      <c r="B410" t="s">
        <v>17</v>
      </c>
      <c r="C410" t="s">
        <v>18</v>
      </c>
      <c r="D410" t="s">
        <v>19</v>
      </c>
      <c r="E410" t="s">
        <v>42</v>
      </c>
      <c r="F410" t="s">
        <v>41</v>
      </c>
      <c r="G410" t="s">
        <v>56</v>
      </c>
      <c r="H410" t="s">
        <v>41</v>
      </c>
      <c r="I410" t="s">
        <v>47</v>
      </c>
      <c r="J410">
        <v>0</v>
      </c>
    </row>
    <row r="411" spans="1:10">
      <c r="A411">
        <v>410</v>
      </c>
      <c r="B411" t="s">
        <v>17</v>
      </c>
      <c r="C411" t="s">
        <v>18</v>
      </c>
      <c r="D411" t="s">
        <v>39</v>
      </c>
      <c r="E411" t="s">
        <v>48</v>
      </c>
      <c r="F411" t="s">
        <v>50</v>
      </c>
      <c r="G411" t="s">
        <v>64</v>
      </c>
      <c r="H411" t="s">
        <v>41</v>
      </c>
      <c r="I411" t="s">
        <v>53</v>
      </c>
      <c r="J411">
        <v>0</v>
      </c>
    </row>
    <row r="412" spans="1:10">
      <c r="A412">
        <v>411</v>
      </c>
      <c r="B412" t="s">
        <v>17</v>
      </c>
      <c r="C412" t="s">
        <v>18</v>
      </c>
      <c r="D412" t="s">
        <v>30</v>
      </c>
      <c r="E412" t="s">
        <v>40</v>
      </c>
      <c r="F412" t="s">
        <v>41</v>
      </c>
      <c r="G412" t="s">
        <v>41</v>
      </c>
      <c r="H412" t="s">
        <v>43</v>
      </c>
      <c r="I412" t="s">
        <v>41</v>
      </c>
      <c r="J412">
        <v>0</v>
      </c>
    </row>
    <row r="413" spans="1:10">
      <c r="A413">
        <v>412</v>
      </c>
      <c r="B413" t="s">
        <v>17</v>
      </c>
      <c r="C413" t="s">
        <v>21</v>
      </c>
      <c r="D413" t="s">
        <v>33</v>
      </c>
      <c r="E413" t="s">
        <v>58</v>
      </c>
      <c r="F413" t="s">
        <v>67</v>
      </c>
      <c r="G413" t="s">
        <v>67</v>
      </c>
      <c r="H413" t="s">
        <v>67</v>
      </c>
      <c r="I413" t="s">
        <v>41</v>
      </c>
      <c r="J413">
        <v>0</v>
      </c>
    </row>
    <row r="414" spans="1:10">
      <c r="A414">
        <v>413</v>
      </c>
      <c r="B414" t="s">
        <v>17</v>
      </c>
      <c r="C414" t="s">
        <v>21</v>
      </c>
      <c r="D414" t="s">
        <v>38</v>
      </c>
      <c r="E414" t="s">
        <v>45</v>
      </c>
      <c r="F414" t="s">
        <v>41</v>
      </c>
      <c r="G414" t="s">
        <v>64</v>
      </c>
      <c r="H414" t="s">
        <v>67</v>
      </c>
      <c r="I414" t="s">
        <v>54</v>
      </c>
      <c r="J414">
        <v>0</v>
      </c>
    </row>
    <row r="415" spans="1:10">
      <c r="A415">
        <v>414</v>
      </c>
      <c r="B415" t="s">
        <v>17</v>
      </c>
      <c r="C415" t="s">
        <v>23</v>
      </c>
      <c r="D415" t="s">
        <v>26</v>
      </c>
      <c r="E415" t="s">
        <v>40</v>
      </c>
      <c r="F415" t="s">
        <v>61</v>
      </c>
      <c r="G415" t="s">
        <v>56</v>
      </c>
      <c r="H415" t="s">
        <v>46</v>
      </c>
      <c r="I415" t="s">
        <v>59</v>
      </c>
      <c r="J415">
        <v>0</v>
      </c>
    </row>
    <row r="416" spans="1:10">
      <c r="A416">
        <v>415</v>
      </c>
      <c r="B416" t="s">
        <v>17</v>
      </c>
      <c r="C416" t="s">
        <v>18</v>
      </c>
      <c r="D416" t="s">
        <v>19</v>
      </c>
      <c r="E416" t="s">
        <v>40</v>
      </c>
      <c r="F416" t="s">
        <v>67</v>
      </c>
      <c r="G416" t="s">
        <v>67</v>
      </c>
      <c r="H416" t="s">
        <v>63</v>
      </c>
      <c r="I416" t="s">
        <v>41</v>
      </c>
      <c r="J416">
        <v>1</v>
      </c>
    </row>
    <row r="417" spans="1:10">
      <c r="A417">
        <v>416</v>
      </c>
      <c r="B417" t="s">
        <v>17</v>
      </c>
      <c r="C417" t="s">
        <v>18</v>
      </c>
      <c r="D417" t="s">
        <v>19</v>
      </c>
      <c r="E417" t="s">
        <v>48</v>
      </c>
      <c r="F417" t="s">
        <v>41</v>
      </c>
      <c r="G417" t="s">
        <v>64</v>
      </c>
      <c r="H417" t="s">
        <v>57</v>
      </c>
      <c r="I417" t="s">
        <v>44</v>
      </c>
      <c r="J417">
        <v>1</v>
      </c>
    </row>
    <row r="418" spans="1:10">
      <c r="A418">
        <v>417</v>
      </c>
      <c r="B418" t="s">
        <v>20</v>
      </c>
      <c r="C418" t="s">
        <v>21</v>
      </c>
      <c r="D418" t="s">
        <v>32</v>
      </c>
      <c r="E418" t="s">
        <v>58</v>
      </c>
      <c r="F418" t="s">
        <v>41</v>
      </c>
      <c r="G418" t="s">
        <v>65</v>
      </c>
      <c r="H418" t="s">
        <v>67</v>
      </c>
      <c r="I418" t="s">
        <v>54</v>
      </c>
      <c r="J418">
        <v>0</v>
      </c>
    </row>
    <row r="419" spans="1:10">
      <c r="A419">
        <v>418</v>
      </c>
      <c r="B419" t="s">
        <v>17</v>
      </c>
      <c r="C419" t="s">
        <v>18</v>
      </c>
      <c r="D419" t="s">
        <v>19</v>
      </c>
      <c r="E419" t="s">
        <v>48</v>
      </c>
      <c r="F419" t="s">
        <v>50</v>
      </c>
      <c r="G419" t="s">
        <v>49</v>
      </c>
      <c r="H419" t="s">
        <v>41</v>
      </c>
      <c r="I419" t="s">
        <v>59</v>
      </c>
      <c r="J419">
        <v>0</v>
      </c>
    </row>
    <row r="420" spans="1:10">
      <c r="A420">
        <v>419</v>
      </c>
      <c r="B420" t="s">
        <v>17</v>
      </c>
      <c r="C420" t="s">
        <v>23</v>
      </c>
      <c r="D420" t="s">
        <v>38</v>
      </c>
      <c r="E420" t="s">
        <v>45</v>
      </c>
      <c r="F420" t="s">
        <v>41</v>
      </c>
      <c r="G420" t="s">
        <v>64</v>
      </c>
      <c r="H420" t="s">
        <v>67</v>
      </c>
      <c r="I420" t="s">
        <v>54</v>
      </c>
      <c r="J420">
        <v>0</v>
      </c>
    </row>
    <row r="421" spans="1:10">
      <c r="A421">
        <v>420</v>
      </c>
      <c r="B421" t="s">
        <v>36</v>
      </c>
      <c r="C421" t="s">
        <v>67</v>
      </c>
      <c r="D421" t="s">
        <v>19</v>
      </c>
      <c r="E421" t="s">
        <v>45</v>
      </c>
      <c r="F421" t="s">
        <v>55</v>
      </c>
      <c r="G421" t="s">
        <v>49</v>
      </c>
      <c r="H421" t="s">
        <v>67</v>
      </c>
      <c r="I421" t="s">
        <v>62</v>
      </c>
      <c r="J421">
        <v>0</v>
      </c>
    </row>
    <row r="422" spans="1:10">
      <c r="A422">
        <v>421</v>
      </c>
      <c r="B422" t="s">
        <v>36</v>
      </c>
      <c r="C422" t="s">
        <v>67</v>
      </c>
      <c r="D422" t="s">
        <v>39</v>
      </c>
      <c r="E422" t="s">
        <v>58</v>
      </c>
      <c r="F422" t="s">
        <v>41</v>
      </c>
      <c r="G422" t="s">
        <v>56</v>
      </c>
      <c r="H422" t="s">
        <v>67</v>
      </c>
      <c r="I422" t="s">
        <v>41</v>
      </c>
      <c r="J422">
        <v>0</v>
      </c>
    </row>
    <row r="423" spans="1:10">
      <c r="A423">
        <v>422</v>
      </c>
      <c r="B423" t="s">
        <v>36</v>
      </c>
      <c r="C423" t="s">
        <v>67</v>
      </c>
      <c r="D423" t="s">
        <v>26</v>
      </c>
      <c r="E423" t="s">
        <v>40</v>
      </c>
      <c r="F423" t="s">
        <v>50</v>
      </c>
      <c r="G423" t="s">
        <v>65</v>
      </c>
      <c r="H423" t="s">
        <v>67</v>
      </c>
      <c r="I423" t="s">
        <v>59</v>
      </c>
      <c r="J423">
        <v>0</v>
      </c>
    </row>
    <row r="424" spans="1:10">
      <c r="A424">
        <v>423</v>
      </c>
      <c r="B424" t="s">
        <v>36</v>
      </c>
      <c r="C424" t="s">
        <v>67</v>
      </c>
      <c r="D424" t="s">
        <v>19</v>
      </c>
      <c r="E424" t="s">
        <v>40</v>
      </c>
      <c r="F424" t="s">
        <v>41</v>
      </c>
      <c r="G424" t="s">
        <v>41</v>
      </c>
      <c r="H424" t="s">
        <v>67</v>
      </c>
      <c r="I424" t="s">
        <v>41</v>
      </c>
      <c r="J424">
        <v>0</v>
      </c>
    </row>
    <row r="425" spans="1:10">
      <c r="A425">
        <v>424</v>
      </c>
      <c r="B425" t="s">
        <v>36</v>
      </c>
      <c r="C425" t="s">
        <v>67</v>
      </c>
      <c r="D425" t="s">
        <v>19</v>
      </c>
      <c r="E425" t="s">
        <v>58</v>
      </c>
      <c r="F425" t="s">
        <v>60</v>
      </c>
      <c r="G425" t="s">
        <v>56</v>
      </c>
      <c r="H425" t="s">
        <v>67</v>
      </c>
      <c r="I425" t="s">
        <v>59</v>
      </c>
      <c r="J425">
        <v>0</v>
      </c>
    </row>
    <row r="426" spans="1:10">
      <c r="A426">
        <v>425</v>
      </c>
      <c r="B426" t="s">
        <v>36</v>
      </c>
      <c r="C426" t="s">
        <v>67</v>
      </c>
      <c r="D426" t="s">
        <v>19</v>
      </c>
      <c r="E426" t="s">
        <v>45</v>
      </c>
      <c r="F426" t="s">
        <v>60</v>
      </c>
      <c r="G426" t="s">
        <v>56</v>
      </c>
      <c r="H426" t="s">
        <v>67</v>
      </c>
      <c r="I426" t="s">
        <v>59</v>
      </c>
      <c r="J426">
        <v>0</v>
      </c>
    </row>
    <row r="427" spans="1:10">
      <c r="A427">
        <v>426</v>
      </c>
      <c r="B427" t="s">
        <v>37</v>
      </c>
      <c r="C427" t="s">
        <v>67</v>
      </c>
      <c r="D427" t="s">
        <v>32</v>
      </c>
      <c r="E427" t="s">
        <v>58</v>
      </c>
      <c r="F427" t="s">
        <v>41</v>
      </c>
      <c r="G427" t="s">
        <v>41</v>
      </c>
      <c r="H427" t="s">
        <v>67</v>
      </c>
      <c r="I427" t="s">
        <v>54</v>
      </c>
      <c r="J427">
        <v>0</v>
      </c>
    </row>
    <row r="428" spans="1:10">
      <c r="A428">
        <v>427</v>
      </c>
      <c r="B428" t="s">
        <v>36</v>
      </c>
      <c r="C428" t="s">
        <v>67</v>
      </c>
      <c r="D428" t="s">
        <v>26</v>
      </c>
      <c r="E428" t="s">
        <v>58</v>
      </c>
      <c r="F428" t="s">
        <v>41</v>
      </c>
      <c r="G428" t="s">
        <v>41</v>
      </c>
      <c r="H428" t="s">
        <v>67</v>
      </c>
      <c r="I428" t="s">
        <v>47</v>
      </c>
      <c r="J428">
        <v>0</v>
      </c>
    </row>
    <row r="429" spans="1:10">
      <c r="A429">
        <v>428</v>
      </c>
      <c r="B429" t="s">
        <v>36</v>
      </c>
      <c r="C429" t="s">
        <v>67</v>
      </c>
      <c r="D429" t="s">
        <v>19</v>
      </c>
      <c r="E429" t="s">
        <v>42</v>
      </c>
      <c r="F429" t="s">
        <v>41</v>
      </c>
      <c r="G429" t="s">
        <v>41</v>
      </c>
      <c r="H429" t="s">
        <v>67</v>
      </c>
      <c r="I429" t="s">
        <v>47</v>
      </c>
      <c r="J429">
        <v>0</v>
      </c>
    </row>
    <row r="430" spans="1:10">
      <c r="A430">
        <v>429</v>
      </c>
      <c r="B430" t="s">
        <v>36</v>
      </c>
      <c r="C430" t="s">
        <v>67</v>
      </c>
      <c r="D430" t="s">
        <v>19</v>
      </c>
      <c r="E430" t="s">
        <v>45</v>
      </c>
      <c r="F430" t="s">
        <v>67</v>
      </c>
      <c r="G430" t="s">
        <v>67</v>
      </c>
      <c r="H430" t="s">
        <v>67</v>
      </c>
      <c r="I430" t="s">
        <v>41</v>
      </c>
      <c r="J430">
        <v>0</v>
      </c>
    </row>
    <row r="431" spans="1:10">
      <c r="A431">
        <v>430</v>
      </c>
      <c r="B431" t="s">
        <v>36</v>
      </c>
      <c r="C431" t="s">
        <v>67</v>
      </c>
      <c r="D431" t="s">
        <v>19</v>
      </c>
      <c r="E431" t="s">
        <v>40</v>
      </c>
      <c r="F431" t="s">
        <v>41</v>
      </c>
      <c r="G431" t="s">
        <v>49</v>
      </c>
      <c r="H431" t="s">
        <v>67</v>
      </c>
      <c r="I431" t="s">
        <v>47</v>
      </c>
      <c r="J431">
        <v>0</v>
      </c>
    </row>
    <row r="432" spans="1:10">
      <c r="A432">
        <v>431</v>
      </c>
      <c r="B432" t="s">
        <v>36</v>
      </c>
      <c r="C432" t="s">
        <v>67</v>
      </c>
      <c r="D432" t="s">
        <v>33</v>
      </c>
      <c r="E432" t="s">
        <v>48</v>
      </c>
      <c r="F432" t="s">
        <v>41</v>
      </c>
      <c r="G432" t="s">
        <v>41</v>
      </c>
      <c r="H432" t="s">
        <v>67</v>
      </c>
      <c r="I432" t="s">
        <v>44</v>
      </c>
      <c r="J432">
        <v>0</v>
      </c>
    </row>
    <row r="433" spans="1:10">
      <c r="A433">
        <v>432</v>
      </c>
      <c r="B433" t="s">
        <v>36</v>
      </c>
      <c r="C433" t="s">
        <v>67</v>
      </c>
      <c r="D433" t="s">
        <v>19</v>
      </c>
      <c r="E433" t="s">
        <v>42</v>
      </c>
      <c r="F433" t="s">
        <v>41</v>
      </c>
      <c r="G433" t="s">
        <v>41</v>
      </c>
      <c r="H433" t="s">
        <v>67</v>
      </c>
      <c r="I433" t="s">
        <v>52</v>
      </c>
      <c r="J433">
        <v>0</v>
      </c>
    </row>
    <row r="434" spans="1:10">
      <c r="A434">
        <v>433</v>
      </c>
      <c r="B434" t="s">
        <v>36</v>
      </c>
      <c r="C434" t="s">
        <v>67</v>
      </c>
      <c r="D434" t="s">
        <v>24</v>
      </c>
      <c r="E434" t="s">
        <v>40</v>
      </c>
      <c r="F434" t="s">
        <v>67</v>
      </c>
      <c r="G434" t="s">
        <v>41</v>
      </c>
      <c r="H434" t="s">
        <v>67</v>
      </c>
      <c r="I434" t="s">
        <v>67</v>
      </c>
      <c r="J434">
        <v>1</v>
      </c>
    </row>
    <row r="435" spans="1:10">
      <c r="A435">
        <v>434</v>
      </c>
      <c r="B435" t="s">
        <v>36</v>
      </c>
      <c r="C435" t="s">
        <v>67</v>
      </c>
      <c r="D435" t="s">
        <v>19</v>
      </c>
      <c r="E435" t="s">
        <v>58</v>
      </c>
      <c r="F435" t="s">
        <v>67</v>
      </c>
      <c r="G435" t="s">
        <v>67</v>
      </c>
      <c r="H435" t="s">
        <v>67</v>
      </c>
      <c r="I435" t="s">
        <v>41</v>
      </c>
      <c r="J435">
        <v>0</v>
      </c>
    </row>
    <row r="436" spans="1:10">
      <c r="A436">
        <v>435</v>
      </c>
      <c r="B436" t="s">
        <v>36</v>
      </c>
      <c r="C436" t="s">
        <v>67</v>
      </c>
      <c r="D436" t="s">
        <v>19</v>
      </c>
      <c r="E436" t="s">
        <v>42</v>
      </c>
      <c r="F436" t="s">
        <v>41</v>
      </c>
      <c r="G436" t="s">
        <v>49</v>
      </c>
      <c r="H436" t="s">
        <v>67</v>
      </c>
      <c r="I436" t="s">
        <v>54</v>
      </c>
      <c r="J436">
        <v>0</v>
      </c>
    </row>
    <row r="437" spans="1:10">
      <c r="A437">
        <v>436</v>
      </c>
      <c r="B437" t="s">
        <v>36</v>
      </c>
      <c r="C437" t="s">
        <v>67</v>
      </c>
      <c r="D437" t="s">
        <v>30</v>
      </c>
      <c r="E437" t="s">
        <v>42</v>
      </c>
      <c r="F437" t="s">
        <v>61</v>
      </c>
      <c r="G437" t="s">
        <v>41</v>
      </c>
      <c r="H437" t="s">
        <v>67</v>
      </c>
      <c r="I437" t="s">
        <v>47</v>
      </c>
      <c r="J437">
        <v>0</v>
      </c>
    </row>
    <row r="438" spans="1:10">
      <c r="A438">
        <v>437</v>
      </c>
      <c r="B438" t="s">
        <v>36</v>
      </c>
      <c r="C438" t="s">
        <v>67</v>
      </c>
      <c r="D438" t="s">
        <v>39</v>
      </c>
      <c r="E438" t="s">
        <v>58</v>
      </c>
      <c r="F438" t="s">
        <v>50</v>
      </c>
      <c r="G438" t="s">
        <v>41</v>
      </c>
      <c r="H438" t="s">
        <v>67</v>
      </c>
      <c r="I438" t="s">
        <v>54</v>
      </c>
      <c r="J438">
        <v>0</v>
      </c>
    </row>
    <row r="439" spans="1:10">
      <c r="A439">
        <v>438</v>
      </c>
      <c r="B439" t="s">
        <v>36</v>
      </c>
      <c r="C439" t="s">
        <v>67</v>
      </c>
      <c r="D439" t="s">
        <v>30</v>
      </c>
      <c r="E439" t="s">
        <v>45</v>
      </c>
      <c r="F439" t="s">
        <v>55</v>
      </c>
      <c r="G439" t="s">
        <v>41</v>
      </c>
      <c r="H439" t="s">
        <v>67</v>
      </c>
      <c r="I439" t="s">
        <v>47</v>
      </c>
      <c r="J439">
        <v>0</v>
      </c>
    </row>
    <row r="440" spans="1:10">
      <c r="A440">
        <v>439</v>
      </c>
      <c r="B440" t="s">
        <v>36</v>
      </c>
      <c r="C440" t="s">
        <v>67</v>
      </c>
      <c r="D440" t="s">
        <v>19</v>
      </c>
      <c r="E440" t="s">
        <v>45</v>
      </c>
      <c r="F440" t="s">
        <v>41</v>
      </c>
      <c r="G440" t="s">
        <v>49</v>
      </c>
      <c r="H440" t="s">
        <v>67</v>
      </c>
      <c r="I440" t="s">
        <v>44</v>
      </c>
      <c r="J440">
        <v>0</v>
      </c>
    </row>
    <row r="441" spans="1:10">
      <c r="A441">
        <v>440</v>
      </c>
      <c r="B441" t="s">
        <v>36</v>
      </c>
      <c r="C441" t="s">
        <v>67</v>
      </c>
      <c r="D441" t="s">
        <v>34</v>
      </c>
      <c r="E441" t="s">
        <v>67</v>
      </c>
      <c r="F441" t="s">
        <v>67</v>
      </c>
      <c r="G441" t="s">
        <v>67</v>
      </c>
      <c r="H441" t="s">
        <v>67</v>
      </c>
      <c r="I441" t="s">
        <v>67</v>
      </c>
      <c r="J441">
        <v>0</v>
      </c>
    </row>
    <row r="442" spans="1:10">
      <c r="A442">
        <v>441</v>
      </c>
      <c r="B442" t="s">
        <v>36</v>
      </c>
      <c r="C442" t="s">
        <v>67</v>
      </c>
      <c r="D442" t="s">
        <v>19</v>
      </c>
      <c r="E442" t="s">
        <v>48</v>
      </c>
      <c r="F442" t="s">
        <v>41</v>
      </c>
      <c r="G442" t="s">
        <v>41</v>
      </c>
      <c r="H442" t="s">
        <v>67</v>
      </c>
      <c r="I442" t="s">
        <v>44</v>
      </c>
      <c r="J442">
        <v>0</v>
      </c>
    </row>
    <row r="443" spans="1:10">
      <c r="A443">
        <v>442</v>
      </c>
      <c r="B443" t="s">
        <v>36</v>
      </c>
      <c r="C443" t="s">
        <v>67</v>
      </c>
      <c r="D443" t="s">
        <v>33</v>
      </c>
      <c r="E443" t="s">
        <v>48</v>
      </c>
      <c r="F443" t="s">
        <v>41</v>
      </c>
      <c r="G443" t="s">
        <v>41</v>
      </c>
      <c r="H443" t="s">
        <v>67</v>
      </c>
      <c r="I443" t="s">
        <v>54</v>
      </c>
      <c r="J443">
        <v>0</v>
      </c>
    </row>
    <row r="444" spans="1:10">
      <c r="A444">
        <v>443</v>
      </c>
      <c r="B444" t="s">
        <v>36</v>
      </c>
      <c r="C444" t="s">
        <v>67</v>
      </c>
      <c r="D444" t="s">
        <v>19</v>
      </c>
      <c r="E444" t="s">
        <v>40</v>
      </c>
      <c r="F444" t="s">
        <v>67</v>
      </c>
      <c r="G444" t="s">
        <v>67</v>
      </c>
      <c r="H444" t="s">
        <v>67</v>
      </c>
      <c r="I444" t="s">
        <v>44</v>
      </c>
      <c r="J444">
        <v>0</v>
      </c>
    </row>
    <row r="445" spans="1:10">
      <c r="A445">
        <v>444</v>
      </c>
      <c r="B445" t="s">
        <v>36</v>
      </c>
      <c r="C445" t="s">
        <v>67</v>
      </c>
      <c r="D445" t="s">
        <v>19</v>
      </c>
      <c r="E445" t="s">
        <v>40</v>
      </c>
      <c r="F445" t="s">
        <v>41</v>
      </c>
      <c r="G445" t="s">
        <v>64</v>
      </c>
      <c r="H445" t="s">
        <v>67</v>
      </c>
      <c r="I445" t="s">
        <v>44</v>
      </c>
      <c r="J445">
        <v>0</v>
      </c>
    </row>
    <row r="446" spans="1:10">
      <c r="A446">
        <v>445</v>
      </c>
      <c r="B446" t="s">
        <v>36</v>
      </c>
      <c r="C446" t="s">
        <v>67</v>
      </c>
      <c r="D446" t="s">
        <v>19</v>
      </c>
      <c r="E446" t="s">
        <v>40</v>
      </c>
      <c r="F446" t="s">
        <v>41</v>
      </c>
      <c r="G446" t="s">
        <v>49</v>
      </c>
      <c r="H446" t="s">
        <v>67</v>
      </c>
      <c r="I446" t="s">
        <v>47</v>
      </c>
      <c r="J446">
        <v>0</v>
      </c>
    </row>
    <row r="447" spans="1:10">
      <c r="A447">
        <v>446</v>
      </c>
      <c r="B447" t="s">
        <v>36</v>
      </c>
      <c r="C447" t="s">
        <v>67</v>
      </c>
      <c r="D447" t="s">
        <v>26</v>
      </c>
      <c r="E447" t="s">
        <v>40</v>
      </c>
      <c r="F447" t="s">
        <v>55</v>
      </c>
      <c r="G447" t="s">
        <v>41</v>
      </c>
      <c r="H447" t="s">
        <v>67</v>
      </c>
      <c r="I447" t="s">
        <v>59</v>
      </c>
      <c r="J447">
        <v>0</v>
      </c>
    </row>
    <row r="448" spans="1:10">
      <c r="A448">
        <v>447</v>
      </c>
      <c r="B448" t="s">
        <v>36</v>
      </c>
      <c r="C448" t="s">
        <v>67</v>
      </c>
      <c r="D448" t="s">
        <v>32</v>
      </c>
      <c r="E448" t="s">
        <v>40</v>
      </c>
      <c r="F448" t="s">
        <v>60</v>
      </c>
      <c r="G448" t="s">
        <v>67</v>
      </c>
      <c r="H448" t="s">
        <v>67</v>
      </c>
      <c r="I448" t="s">
        <v>67</v>
      </c>
      <c r="J448">
        <v>1</v>
      </c>
    </row>
    <row r="449" spans="1:10">
      <c r="A449">
        <v>448</v>
      </c>
      <c r="B449" t="s">
        <v>36</v>
      </c>
      <c r="C449" t="s">
        <v>67</v>
      </c>
      <c r="D449" t="s">
        <v>34</v>
      </c>
      <c r="E449" t="s">
        <v>40</v>
      </c>
      <c r="F449" t="s">
        <v>60</v>
      </c>
      <c r="G449" t="s">
        <v>67</v>
      </c>
      <c r="H449" t="s">
        <v>67</v>
      </c>
      <c r="I449" t="s">
        <v>67</v>
      </c>
      <c r="J449">
        <v>0</v>
      </c>
    </row>
    <row r="450" spans="1:10">
      <c r="A450">
        <v>449</v>
      </c>
      <c r="B450" t="s">
        <v>36</v>
      </c>
      <c r="C450" t="s">
        <v>67</v>
      </c>
      <c r="D450" t="s">
        <v>33</v>
      </c>
      <c r="E450" t="s">
        <v>40</v>
      </c>
      <c r="F450" t="s">
        <v>67</v>
      </c>
      <c r="G450" t="s">
        <v>67</v>
      </c>
      <c r="H450" t="s">
        <v>67</v>
      </c>
      <c r="I450" t="s">
        <v>41</v>
      </c>
      <c r="J450">
        <v>0</v>
      </c>
    </row>
    <row r="451" spans="1:10">
      <c r="A451">
        <v>450</v>
      </c>
      <c r="B451" t="s">
        <v>36</v>
      </c>
      <c r="C451" t="s">
        <v>67</v>
      </c>
      <c r="D451" t="s">
        <v>34</v>
      </c>
      <c r="E451" t="s">
        <v>67</v>
      </c>
      <c r="F451" t="s">
        <v>67</v>
      </c>
      <c r="G451" t="s">
        <v>67</v>
      </c>
      <c r="H451" t="s">
        <v>67</v>
      </c>
      <c r="I451" t="s">
        <v>67</v>
      </c>
      <c r="J451">
        <v>0</v>
      </c>
    </row>
    <row r="452" spans="1:10">
      <c r="A452">
        <v>451</v>
      </c>
      <c r="B452" t="s">
        <v>36</v>
      </c>
      <c r="C452" t="s">
        <v>67</v>
      </c>
      <c r="D452" t="s">
        <v>19</v>
      </c>
      <c r="E452" t="s">
        <v>58</v>
      </c>
      <c r="F452" t="s">
        <v>41</v>
      </c>
      <c r="G452" t="s">
        <v>65</v>
      </c>
      <c r="H452" t="s">
        <v>67</v>
      </c>
      <c r="I452" t="s">
        <v>44</v>
      </c>
      <c r="J452">
        <v>0</v>
      </c>
    </row>
    <row r="453" spans="1:10">
      <c r="A453">
        <v>452</v>
      </c>
      <c r="B453" t="s">
        <v>36</v>
      </c>
      <c r="C453" t="s">
        <v>67</v>
      </c>
      <c r="D453" t="s">
        <v>19</v>
      </c>
      <c r="E453" t="s">
        <v>40</v>
      </c>
      <c r="F453" t="s">
        <v>55</v>
      </c>
      <c r="G453" t="s">
        <v>41</v>
      </c>
      <c r="H453" t="s">
        <v>67</v>
      </c>
      <c r="I453" t="s">
        <v>59</v>
      </c>
      <c r="J453">
        <v>0</v>
      </c>
    </row>
    <row r="454" spans="1:10">
      <c r="A454">
        <v>453</v>
      </c>
      <c r="B454" t="s">
        <v>36</v>
      </c>
      <c r="C454" t="s">
        <v>67</v>
      </c>
      <c r="D454" t="s">
        <v>19</v>
      </c>
      <c r="E454" t="s">
        <v>40</v>
      </c>
      <c r="F454" t="s">
        <v>41</v>
      </c>
      <c r="G454" t="s">
        <v>64</v>
      </c>
      <c r="H454" t="s">
        <v>67</v>
      </c>
      <c r="I454" t="s">
        <v>44</v>
      </c>
      <c r="J454">
        <v>0</v>
      </c>
    </row>
    <row r="455" spans="1:10">
      <c r="A455">
        <v>454</v>
      </c>
      <c r="B455" t="s">
        <v>36</v>
      </c>
      <c r="C455" t="s">
        <v>67</v>
      </c>
      <c r="D455" t="s">
        <v>19</v>
      </c>
      <c r="E455" t="s">
        <v>48</v>
      </c>
      <c r="F455" t="s">
        <v>60</v>
      </c>
      <c r="G455" t="s">
        <v>65</v>
      </c>
      <c r="H455" t="s">
        <v>67</v>
      </c>
      <c r="I455" t="s">
        <v>67</v>
      </c>
      <c r="J455">
        <v>0</v>
      </c>
    </row>
    <row r="456" spans="1:10">
      <c r="A456">
        <v>455</v>
      </c>
      <c r="B456" t="s">
        <v>36</v>
      </c>
      <c r="C456" t="s">
        <v>67</v>
      </c>
      <c r="D456" t="s">
        <v>19</v>
      </c>
      <c r="E456" t="s">
        <v>45</v>
      </c>
      <c r="F456" t="s">
        <v>60</v>
      </c>
      <c r="G456" t="s">
        <v>49</v>
      </c>
      <c r="H456" t="s">
        <v>67</v>
      </c>
      <c r="I456" t="s">
        <v>67</v>
      </c>
      <c r="J456">
        <v>0</v>
      </c>
    </row>
    <row r="457" spans="1:10">
      <c r="A457">
        <v>456</v>
      </c>
      <c r="B457" t="s">
        <v>36</v>
      </c>
      <c r="C457" t="s">
        <v>67</v>
      </c>
      <c r="D457" t="s">
        <v>33</v>
      </c>
      <c r="E457" t="s">
        <v>40</v>
      </c>
      <c r="F457" t="s">
        <v>60</v>
      </c>
      <c r="G457" t="s">
        <v>67</v>
      </c>
      <c r="H457" t="s">
        <v>67</v>
      </c>
      <c r="I457" t="s">
        <v>67</v>
      </c>
      <c r="J457">
        <v>1</v>
      </c>
    </row>
    <row r="458" spans="1:10">
      <c r="A458">
        <v>457</v>
      </c>
      <c r="B458" t="s">
        <v>36</v>
      </c>
      <c r="C458" t="s">
        <v>67</v>
      </c>
      <c r="D458" t="s">
        <v>19</v>
      </c>
      <c r="E458" t="s">
        <v>40</v>
      </c>
      <c r="F458" t="s">
        <v>67</v>
      </c>
      <c r="G458" t="s">
        <v>67</v>
      </c>
      <c r="H458" t="s">
        <v>67</v>
      </c>
      <c r="I458" t="s">
        <v>41</v>
      </c>
      <c r="J458">
        <v>0</v>
      </c>
    </row>
    <row r="459" spans="1:10">
      <c r="A459">
        <v>458</v>
      </c>
      <c r="B459" t="s">
        <v>36</v>
      </c>
      <c r="C459" t="s">
        <v>67</v>
      </c>
      <c r="D459" t="s">
        <v>19</v>
      </c>
      <c r="E459" t="s">
        <v>40</v>
      </c>
      <c r="F459" t="s">
        <v>50</v>
      </c>
      <c r="G459" t="s">
        <v>65</v>
      </c>
      <c r="H459" t="s">
        <v>67</v>
      </c>
      <c r="I459" t="s">
        <v>59</v>
      </c>
      <c r="J459">
        <v>0</v>
      </c>
    </row>
    <row r="460" spans="1:10">
      <c r="A460">
        <v>459</v>
      </c>
      <c r="B460" t="s">
        <v>36</v>
      </c>
      <c r="C460" t="s">
        <v>67</v>
      </c>
      <c r="D460" t="s">
        <v>26</v>
      </c>
      <c r="E460" t="s">
        <v>48</v>
      </c>
      <c r="F460" t="s">
        <v>60</v>
      </c>
      <c r="G460" t="s">
        <v>49</v>
      </c>
      <c r="H460" t="s">
        <v>67</v>
      </c>
      <c r="I460" t="s">
        <v>67</v>
      </c>
      <c r="J460">
        <v>0</v>
      </c>
    </row>
    <row r="461" spans="1:10">
      <c r="A461">
        <v>460</v>
      </c>
      <c r="B461" t="s">
        <v>36</v>
      </c>
      <c r="C461" t="s">
        <v>67</v>
      </c>
      <c r="D461" t="s">
        <v>26</v>
      </c>
      <c r="E461" t="s">
        <v>42</v>
      </c>
      <c r="F461" t="s">
        <v>55</v>
      </c>
      <c r="G461" t="s">
        <v>41</v>
      </c>
      <c r="H461" t="s">
        <v>67</v>
      </c>
      <c r="I461" t="s">
        <v>67</v>
      </c>
      <c r="J461">
        <v>0</v>
      </c>
    </row>
    <row r="462" spans="1:10">
      <c r="A462">
        <v>461</v>
      </c>
      <c r="B462" t="s">
        <v>36</v>
      </c>
      <c r="C462" t="s">
        <v>67</v>
      </c>
      <c r="D462" t="s">
        <v>19</v>
      </c>
      <c r="E462" t="s">
        <v>40</v>
      </c>
      <c r="F462" t="s">
        <v>61</v>
      </c>
      <c r="G462" t="s">
        <v>65</v>
      </c>
      <c r="H462" t="s">
        <v>67</v>
      </c>
      <c r="I462" t="s">
        <v>67</v>
      </c>
      <c r="J462">
        <v>1</v>
      </c>
    </row>
    <row r="463" spans="1:10">
      <c r="A463">
        <v>462</v>
      </c>
      <c r="B463" t="s">
        <v>36</v>
      </c>
      <c r="C463" t="s">
        <v>67</v>
      </c>
      <c r="D463" t="s">
        <v>33</v>
      </c>
      <c r="E463" t="s">
        <v>58</v>
      </c>
      <c r="F463" t="s">
        <v>67</v>
      </c>
      <c r="G463" t="s">
        <v>67</v>
      </c>
      <c r="H463" t="s">
        <v>67</v>
      </c>
      <c r="I463" t="s">
        <v>67</v>
      </c>
      <c r="J463">
        <v>1</v>
      </c>
    </row>
    <row r="464" spans="1:10">
      <c r="A464">
        <v>463</v>
      </c>
      <c r="B464" t="s">
        <v>36</v>
      </c>
      <c r="C464" t="s">
        <v>67</v>
      </c>
      <c r="D464" t="s">
        <v>19</v>
      </c>
      <c r="E464" t="s">
        <v>58</v>
      </c>
      <c r="F464" t="s">
        <v>41</v>
      </c>
      <c r="G464" t="s">
        <v>41</v>
      </c>
      <c r="H464" t="s">
        <v>67</v>
      </c>
      <c r="I464" t="s">
        <v>44</v>
      </c>
      <c r="J464">
        <v>0</v>
      </c>
    </row>
    <row r="465" spans="1:10">
      <c r="A465">
        <v>464</v>
      </c>
      <c r="B465" t="s">
        <v>36</v>
      </c>
      <c r="C465" t="s">
        <v>67</v>
      </c>
      <c r="D465" t="s">
        <v>33</v>
      </c>
      <c r="E465" t="s">
        <v>58</v>
      </c>
      <c r="F465" t="s">
        <v>67</v>
      </c>
      <c r="G465" t="s">
        <v>67</v>
      </c>
      <c r="H465" t="s">
        <v>67</v>
      </c>
      <c r="I465" t="s">
        <v>67</v>
      </c>
      <c r="J465">
        <v>1</v>
      </c>
    </row>
    <row r="466" spans="1:10">
      <c r="A466">
        <v>465</v>
      </c>
      <c r="B466" t="s">
        <v>36</v>
      </c>
      <c r="C466" t="s">
        <v>67</v>
      </c>
      <c r="D466" t="s">
        <v>19</v>
      </c>
      <c r="E466" t="s">
        <v>67</v>
      </c>
      <c r="F466" t="s">
        <v>67</v>
      </c>
      <c r="G466" t="s">
        <v>67</v>
      </c>
      <c r="H466" t="s">
        <v>67</v>
      </c>
      <c r="I466" t="s">
        <v>67</v>
      </c>
      <c r="J466">
        <v>0</v>
      </c>
    </row>
    <row r="467" spans="1:10">
      <c r="A467">
        <v>466</v>
      </c>
      <c r="B467" t="s">
        <v>36</v>
      </c>
      <c r="C467" t="s">
        <v>67</v>
      </c>
      <c r="D467" t="s">
        <v>30</v>
      </c>
      <c r="E467" t="s">
        <v>40</v>
      </c>
      <c r="F467" t="s">
        <v>67</v>
      </c>
      <c r="G467" t="s">
        <v>67</v>
      </c>
      <c r="H467" t="s">
        <v>67</v>
      </c>
      <c r="I467" t="s">
        <v>67</v>
      </c>
      <c r="J467">
        <v>1</v>
      </c>
    </row>
    <row r="468" spans="1:10">
      <c r="A468">
        <v>467</v>
      </c>
      <c r="B468" t="s">
        <v>36</v>
      </c>
      <c r="C468" t="s">
        <v>67</v>
      </c>
      <c r="D468" t="s">
        <v>19</v>
      </c>
      <c r="E468" t="s">
        <v>40</v>
      </c>
      <c r="F468" t="s">
        <v>55</v>
      </c>
      <c r="G468" t="s">
        <v>49</v>
      </c>
      <c r="H468" t="s">
        <v>67</v>
      </c>
      <c r="I468" t="s">
        <v>67</v>
      </c>
      <c r="J468">
        <v>1</v>
      </c>
    </row>
    <row r="469" spans="1:10">
      <c r="A469">
        <v>468</v>
      </c>
      <c r="B469" t="s">
        <v>36</v>
      </c>
      <c r="C469" t="s">
        <v>67</v>
      </c>
      <c r="D469" t="s">
        <v>26</v>
      </c>
      <c r="E469" t="s">
        <v>48</v>
      </c>
      <c r="F469" t="s">
        <v>60</v>
      </c>
      <c r="G469" t="s">
        <v>49</v>
      </c>
      <c r="H469" t="s">
        <v>67</v>
      </c>
      <c r="I469" t="s">
        <v>67</v>
      </c>
      <c r="J469">
        <v>0</v>
      </c>
    </row>
    <row r="470" spans="1:10">
      <c r="A470">
        <v>469</v>
      </c>
      <c r="B470" t="s">
        <v>36</v>
      </c>
      <c r="C470" t="s">
        <v>67</v>
      </c>
      <c r="D470" t="s">
        <v>30</v>
      </c>
      <c r="E470" t="s">
        <v>40</v>
      </c>
      <c r="F470" t="s">
        <v>67</v>
      </c>
      <c r="G470" t="s">
        <v>67</v>
      </c>
      <c r="H470" t="s">
        <v>67</v>
      </c>
      <c r="I470" t="s">
        <v>67</v>
      </c>
      <c r="J470">
        <v>0</v>
      </c>
    </row>
    <row r="471" spans="1:10">
      <c r="A471">
        <v>470</v>
      </c>
      <c r="B471" t="s">
        <v>36</v>
      </c>
      <c r="C471" t="s">
        <v>67</v>
      </c>
      <c r="D471" t="s">
        <v>26</v>
      </c>
      <c r="E471" t="s">
        <v>42</v>
      </c>
      <c r="F471" t="s">
        <v>55</v>
      </c>
      <c r="G471" t="s">
        <v>41</v>
      </c>
      <c r="H471" t="s">
        <v>67</v>
      </c>
      <c r="I471" t="s">
        <v>67</v>
      </c>
      <c r="J471">
        <v>0</v>
      </c>
    </row>
    <row r="472" spans="1:10">
      <c r="A472">
        <v>471</v>
      </c>
      <c r="B472" t="s">
        <v>36</v>
      </c>
      <c r="C472" t="s">
        <v>67</v>
      </c>
      <c r="D472" t="s">
        <v>30</v>
      </c>
      <c r="E472" t="s">
        <v>48</v>
      </c>
      <c r="F472" t="s">
        <v>41</v>
      </c>
      <c r="G472" t="s">
        <v>49</v>
      </c>
      <c r="H472" t="s">
        <v>67</v>
      </c>
      <c r="I472" t="s">
        <v>67</v>
      </c>
      <c r="J472">
        <v>0</v>
      </c>
    </row>
    <row r="473" spans="1:10">
      <c r="A473">
        <v>472</v>
      </c>
      <c r="B473" t="s">
        <v>17</v>
      </c>
      <c r="C473" t="s">
        <v>18</v>
      </c>
      <c r="D473" t="s">
        <v>19</v>
      </c>
      <c r="E473" t="s">
        <v>48</v>
      </c>
      <c r="F473" t="s">
        <v>41</v>
      </c>
      <c r="G473" t="s">
        <v>41</v>
      </c>
      <c r="H473" t="s">
        <v>51</v>
      </c>
      <c r="I473" t="s">
        <v>44</v>
      </c>
      <c r="J473">
        <v>0</v>
      </c>
    </row>
    <row r="474" spans="1:10">
      <c r="A474">
        <v>473</v>
      </c>
      <c r="B474" t="s">
        <v>17</v>
      </c>
      <c r="C474" t="s">
        <v>18</v>
      </c>
      <c r="D474" t="s">
        <v>26</v>
      </c>
      <c r="E474" t="s">
        <v>40</v>
      </c>
      <c r="F474" t="s">
        <v>41</v>
      </c>
      <c r="G474" t="s">
        <v>41</v>
      </c>
      <c r="H474" t="s">
        <v>41</v>
      </c>
      <c r="I474" t="s">
        <v>54</v>
      </c>
      <c r="J474">
        <v>0</v>
      </c>
    </row>
    <row r="475" spans="1:10">
      <c r="A475">
        <v>474</v>
      </c>
      <c r="B475" t="s">
        <v>17</v>
      </c>
      <c r="C475" t="s">
        <v>23</v>
      </c>
      <c r="D475" t="s">
        <v>39</v>
      </c>
      <c r="E475" t="s">
        <v>40</v>
      </c>
      <c r="F475" t="s">
        <v>41</v>
      </c>
      <c r="G475" t="s">
        <v>41</v>
      </c>
      <c r="H475" t="s">
        <v>67</v>
      </c>
      <c r="I475" t="s">
        <v>44</v>
      </c>
      <c r="J475">
        <v>0</v>
      </c>
    </row>
    <row r="476" spans="1:10">
      <c r="A476">
        <v>475</v>
      </c>
      <c r="B476" t="s">
        <v>17</v>
      </c>
      <c r="C476" t="s">
        <v>18</v>
      </c>
      <c r="D476" t="s">
        <v>19</v>
      </c>
      <c r="E476" t="s">
        <v>40</v>
      </c>
      <c r="F476" t="s">
        <v>41</v>
      </c>
      <c r="G476" t="s">
        <v>41</v>
      </c>
      <c r="H476" t="s">
        <v>67</v>
      </c>
      <c r="I476" t="s">
        <v>44</v>
      </c>
      <c r="J476">
        <v>0</v>
      </c>
    </row>
    <row r="477" spans="1:10">
      <c r="A477">
        <v>476</v>
      </c>
      <c r="B477" t="s">
        <v>17</v>
      </c>
      <c r="C477" t="s">
        <v>18</v>
      </c>
      <c r="D477" t="s">
        <v>19</v>
      </c>
      <c r="E477" t="s">
        <v>48</v>
      </c>
      <c r="F477" t="s">
        <v>41</v>
      </c>
      <c r="G477" t="s">
        <v>41</v>
      </c>
      <c r="H477" t="s">
        <v>67</v>
      </c>
      <c r="I477" t="s">
        <v>44</v>
      </c>
      <c r="J477">
        <v>0</v>
      </c>
    </row>
    <row r="478" spans="1:10">
      <c r="A478">
        <v>477</v>
      </c>
      <c r="B478" t="s">
        <v>17</v>
      </c>
      <c r="C478" t="s">
        <v>18</v>
      </c>
      <c r="D478" t="s">
        <v>19</v>
      </c>
      <c r="E478" t="s">
        <v>40</v>
      </c>
      <c r="F478" t="s">
        <v>60</v>
      </c>
      <c r="G478" t="s">
        <v>64</v>
      </c>
      <c r="H478" t="s">
        <v>41</v>
      </c>
      <c r="I478" t="s">
        <v>47</v>
      </c>
      <c r="J478">
        <v>0</v>
      </c>
    </row>
    <row r="479" spans="1:10">
      <c r="A479">
        <v>478</v>
      </c>
      <c r="B479" t="s">
        <v>17</v>
      </c>
      <c r="C479" t="s">
        <v>18</v>
      </c>
      <c r="D479" t="s">
        <v>19</v>
      </c>
      <c r="E479" t="s">
        <v>40</v>
      </c>
      <c r="F479" t="s">
        <v>41</v>
      </c>
      <c r="G479" t="s">
        <v>41</v>
      </c>
      <c r="H479" t="s">
        <v>67</v>
      </c>
      <c r="I479" t="s">
        <v>44</v>
      </c>
      <c r="J479">
        <v>0</v>
      </c>
    </row>
    <row r="480" spans="1:10">
      <c r="A480">
        <v>479</v>
      </c>
      <c r="B480" t="s">
        <v>17</v>
      </c>
      <c r="C480" t="s">
        <v>18</v>
      </c>
      <c r="D480" t="s">
        <v>19</v>
      </c>
      <c r="E480" t="s">
        <v>48</v>
      </c>
      <c r="F480" t="s">
        <v>41</v>
      </c>
      <c r="G480" t="s">
        <v>41</v>
      </c>
      <c r="H480" t="s">
        <v>67</v>
      </c>
      <c r="I480" t="s">
        <v>44</v>
      </c>
      <c r="J480">
        <v>0</v>
      </c>
    </row>
    <row r="481" spans="1:10">
      <c r="A481">
        <v>480</v>
      </c>
      <c r="B481" t="s">
        <v>17</v>
      </c>
      <c r="C481" t="s">
        <v>18</v>
      </c>
      <c r="D481" t="s">
        <v>19</v>
      </c>
      <c r="E481" t="s">
        <v>40</v>
      </c>
      <c r="F481" t="s">
        <v>41</v>
      </c>
      <c r="G481" t="s">
        <v>41</v>
      </c>
      <c r="H481" t="s">
        <v>41</v>
      </c>
      <c r="I481" t="s">
        <v>54</v>
      </c>
      <c r="J481">
        <v>0</v>
      </c>
    </row>
    <row r="482" spans="1:10">
      <c r="A482">
        <v>481</v>
      </c>
      <c r="B482" t="s">
        <v>17</v>
      </c>
      <c r="C482" t="s">
        <v>18</v>
      </c>
      <c r="D482" t="s">
        <v>19</v>
      </c>
      <c r="E482" t="s">
        <v>40</v>
      </c>
      <c r="F482" t="s">
        <v>41</v>
      </c>
      <c r="G482" t="s">
        <v>41</v>
      </c>
      <c r="H482" t="s">
        <v>67</v>
      </c>
      <c r="I482" t="s">
        <v>44</v>
      </c>
      <c r="J482">
        <v>0</v>
      </c>
    </row>
    <row r="483" spans="1:10">
      <c r="A483">
        <v>482</v>
      </c>
      <c r="B483" t="s">
        <v>17</v>
      </c>
      <c r="C483" t="s">
        <v>18</v>
      </c>
      <c r="D483" t="s">
        <v>19</v>
      </c>
      <c r="E483" t="s">
        <v>58</v>
      </c>
      <c r="F483" t="s">
        <v>41</v>
      </c>
      <c r="G483" t="s">
        <v>49</v>
      </c>
      <c r="H483" t="s">
        <v>57</v>
      </c>
      <c r="I483" t="s">
        <v>54</v>
      </c>
      <c r="J483">
        <v>0</v>
      </c>
    </row>
    <row r="484" spans="1:10">
      <c r="A484">
        <v>483</v>
      </c>
      <c r="B484" t="s">
        <v>17</v>
      </c>
      <c r="C484" t="s">
        <v>18</v>
      </c>
      <c r="D484" t="s">
        <v>19</v>
      </c>
      <c r="E484" t="s">
        <v>40</v>
      </c>
      <c r="F484" t="s">
        <v>61</v>
      </c>
      <c r="G484" t="s">
        <v>56</v>
      </c>
      <c r="H484" t="s">
        <v>63</v>
      </c>
      <c r="I484" t="s">
        <v>47</v>
      </c>
      <c r="J484">
        <v>0</v>
      </c>
    </row>
    <row r="485" spans="1:10">
      <c r="A485">
        <v>484</v>
      </c>
      <c r="B485" t="s">
        <v>36</v>
      </c>
      <c r="C485" t="s">
        <v>67</v>
      </c>
      <c r="D485" t="s">
        <v>19</v>
      </c>
      <c r="E485" t="s">
        <v>58</v>
      </c>
      <c r="F485" t="s">
        <v>41</v>
      </c>
      <c r="G485" t="s">
        <v>49</v>
      </c>
      <c r="H485" t="s">
        <v>67</v>
      </c>
      <c r="I485" t="s">
        <v>44</v>
      </c>
      <c r="J485">
        <v>0</v>
      </c>
    </row>
    <row r="486" spans="1:10">
      <c r="A486">
        <v>485</v>
      </c>
      <c r="B486" t="s">
        <v>36</v>
      </c>
      <c r="C486" t="s">
        <v>67</v>
      </c>
      <c r="D486" t="s">
        <v>19</v>
      </c>
      <c r="E486" t="s">
        <v>40</v>
      </c>
      <c r="F486" t="s">
        <v>41</v>
      </c>
      <c r="G486" t="s">
        <v>49</v>
      </c>
      <c r="H486" t="s">
        <v>67</v>
      </c>
      <c r="I486" t="s">
        <v>44</v>
      </c>
      <c r="J486">
        <v>0</v>
      </c>
    </row>
    <row r="487" spans="1:10">
      <c r="A487">
        <v>486</v>
      </c>
      <c r="B487" t="s">
        <v>36</v>
      </c>
      <c r="C487" t="s">
        <v>67</v>
      </c>
      <c r="D487" t="s">
        <v>19</v>
      </c>
      <c r="E487" t="s">
        <v>40</v>
      </c>
      <c r="F487" t="s">
        <v>50</v>
      </c>
      <c r="G487" t="s">
        <v>41</v>
      </c>
      <c r="H487" t="s">
        <v>67</v>
      </c>
      <c r="I487" t="s">
        <v>52</v>
      </c>
      <c r="J487">
        <v>0</v>
      </c>
    </row>
    <row r="488" spans="1:10">
      <c r="A488">
        <v>487</v>
      </c>
      <c r="B488" t="s">
        <v>36</v>
      </c>
      <c r="C488" t="s">
        <v>67</v>
      </c>
      <c r="D488" t="s">
        <v>19</v>
      </c>
      <c r="E488" t="s">
        <v>48</v>
      </c>
      <c r="F488" t="s">
        <v>67</v>
      </c>
      <c r="G488" t="s">
        <v>67</v>
      </c>
      <c r="H488" t="s">
        <v>67</v>
      </c>
      <c r="I488" t="s">
        <v>67</v>
      </c>
      <c r="J488">
        <v>0</v>
      </c>
    </row>
    <row r="489" spans="1:10">
      <c r="A489">
        <v>488</v>
      </c>
      <c r="B489" t="s">
        <v>36</v>
      </c>
      <c r="C489" t="s">
        <v>67</v>
      </c>
      <c r="D489" t="s">
        <v>30</v>
      </c>
      <c r="E489" t="s">
        <v>45</v>
      </c>
      <c r="F489" t="s">
        <v>41</v>
      </c>
      <c r="G489" t="s">
        <v>65</v>
      </c>
      <c r="H489" t="s">
        <v>67</v>
      </c>
      <c r="I489" t="s">
        <v>41</v>
      </c>
      <c r="J489">
        <v>0</v>
      </c>
    </row>
    <row r="490" spans="1:10">
      <c r="A490">
        <v>489</v>
      </c>
      <c r="B490" t="s">
        <v>36</v>
      </c>
      <c r="C490" t="s">
        <v>67</v>
      </c>
      <c r="D490" t="s">
        <v>19</v>
      </c>
      <c r="E490" t="s">
        <v>58</v>
      </c>
      <c r="F490" t="s">
        <v>60</v>
      </c>
      <c r="G490" t="s">
        <v>49</v>
      </c>
      <c r="H490" t="s">
        <v>67</v>
      </c>
      <c r="I490" t="s">
        <v>59</v>
      </c>
      <c r="J490">
        <v>0</v>
      </c>
    </row>
    <row r="491" spans="1:10">
      <c r="A491">
        <v>490</v>
      </c>
      <c r="B491" t="s">
        <v>36</v>
      </c>
      <c r="C491" t="s">
        <v>67</v>
      </c>
      <c r="D491" t="s">
        <v>19</v>
      </c>
      <c r="E491" t="s">
        <v>40</v>
      </c>
      <c r="F491" t="s">
        <v>61</v>
      </c>
      <c r="G491" t="s">
        <v>65</v>
      </c>
      <c r="H491" t="s">
        <v>67</v>
      </c>
      <c r="I491" t="s">
        <v>52</v>
      </c>
      <c r="J491">
        <v>0</v>
      </c>
    </row>
    <row r="492" spans="1:10">
      <c r="A492">
        <v>491</v>
      </c>
      <c r="B492" t="s">
        <v>36</v>
      </c>
      <c r="C492" t="s">
        <v>67</v>
      </c>
      <c r="D492" t="s">
        <v>34</v>
      </c>
      <c r="E492" t="s">
        <v>40</v>
      </c>
      <c r="F492" t="s">
        <v>41</v>
      </c>
      <c r="G492" t="s">
        <v>67</v>
      </c>
      <c r="H492" t="s">
        <v>67</v>
      </c>
      <c r="I492" t="s">
        <v>44</v>
      </c>
      <c r="J492">
        <v>0</v>
      </c>
    </row>
    <row r="493" spans="1:10">
      <c r="A493">
        <v>492</v>
      </c>
      <c r="B493" t="s">
        <v>36</v>
      </c>
      <c r="C493" t="s">
        <v>67</v>
      </c>
      <c r="D493" t="s">
        <v>19</v>
      </c>
      <c r="E493" t="s">
        <v>40</v>
      </c>
      <c r="F493" t="s">
        <v>41</v>
      </c>
      <c r="G493" t="s">
        <v>64</v>
      </c>
      <c r="H493" t="s">
        <v>67</v>
      </c>
      <c r="I493" t="s">
        <v>44</v>
      </c>
      <c r="J493">
        <v>1</v>
      </c>
    </row>
    <row r="494" spans="1:10">
      <c r="A494">
        <v>493</v>
      </c>
      <c r="B494" t="s">
        <v>36</v>
      </c>
      <c r="C494" t="s">
        <v>67</v>
      </c>
      <c r="D494" t="s">
        <v>19</v>
      </c>
      <c r="E494" t="s">
        <v>48</v>
      </c>
      <c r="F494" t="s">
        <v>61</v>
      </c>
      <c r="G494" t="s">
        <v>49</v>
      </c>
      <c r="H494" t="s">
        <v>67</v>
      </c>
      <c r="I494" t="s">
        <v>62</v>
      </c>
      <c r="J494">
        <v>0</v>
      </c>
    </row>
    <row r="495" spans="1:10">
      <c r="A495">
        <v>494</v>
      </c>
      <c r="B495" t="s">
        <v>36</v>
      </c>
      <c r="C495" t="s">
        <v>67</v>
      </c>
      <c r="D495" t="s">
        <v>19</v>
      </c>
      <c r="E495" t="s">
        <v>42</v>
      </c>
      <c r="F495" t="s">
        <v>41</v>
      </c>
      <c r="G495" t="s">
        <v>67</v>
      </c>
      <c r="H495" t="s">
        <v>67</v>
      </c>
      <c r="I495" t="s">
        <v>41</v>
      </c>
      <c r="J495">
        <v>0</v>
      </c>
    </row>
    <row r="496" spans="1:10">
      <c r="A496">
        <v>495</v>
      </c>
      <c r="B496" t="s">
        <v>36</v>
      </c>
      <c r="C496" t="s">
        <v>67</v>
      </c>
      <c r="D496" t="s">
        <v>34</v>
      </c>
      <c r="E496" t="s">
        <v>67</v>
      </c>
      <c r="F496" t="s">
        <v>67</v>
      </c>
      <c r="G496" t="s">
        <v>67</v>
      </c>
      <c r="H496" t="s">
        <v>67</v>
      </c>
      <c r="I496" t="s">
        <v>67</v>
      </c>
      <c r="J496">
        <v>0</v>
      </c>
    </row>
    <row r="497" spans="1:10">
      <c r="A497">
        <v>496</v>
      </c>
      <c r="B497" t="s">
        <v>36</v>
      </c>
      <c r="C497" t="s">
        <v>67</v>
      </c>
      <c r="D497" t="s">
        <v>19</v>
      </c>
      <c r="E497" t="s">
        <v>58</v>
      </c>
      <c r="F497" t="s">
        <v>67</v>
      </c>
      <c r="G497" t="s">
        <v>67</v>
      </c>
      <c r="H497" t="s">
        <v>67</v>
      </c>
      <c r="I497" t="s">
        <v>67</v>
      </c>
      <c r="J497">
        <v>0</v>
      </c>
    </row>
    <row r="498" spans="1:10">
      <c r="A498">
        <v>497</v>
      </c>
      <c r="B498" t="s">
        <v>36</v>
      </c>
      <c r="C498" t="s">
        <v>67</v>
      </c>
      <c r="D498" t="s">
        <v>34</v>
      </c>
      <c r="E498" t="s">
        <v>67</v>
      </c>
      <c r="F498" t="s">
        <v>67</v>
      </c>
      <c r="G498" t="s">
        <v>67</v>
      </c>
      <c r="H498" t="s">
        <v>67</v>
      </c>
      <c r="I498" t="s">
        <v>67</v>
      </c>
      <c r="J498">
        <v>0</v>
      </c>
    </row>
    <row r="499" spans="1:10">
      <c r="A499">
        <v>498</v>
      </c>
      <c r="B499" t="s">
        <v>36</v>
      </c>
      <c r="C499" t="s">
        <v>67</v>
      </c>
      <c r="D499" t="s">
        <v>19</v>
      </c>
      <c r="E499" t="s">
        <v>48</v>
      </c>
      <c r="F499" t="s">
        <v>61</v>
      </c>
      <c r="G499" t="s">
        <v>41</v>
      </c>
      <c r="H499" t="s">
        <v>67</v>
      </c>
      <c r="I499" t="s">
        <v>47</v>
      </c>
      <c r="J499">
        <v>0</v>
      </c>
    </row>
    <row r="500" spans="1:10">
      <c r="A500">
        <v>499</v>
      </c>
      <c r="B500" t="s">
        <v>20</v>
      </c>
      <c r="C500" t="s">
        <v>21</v>
      </c>
      <c r="D500" t="s">
        <v>35</v>
      </c>
      <c r="E500" t="s">
        <v>40</v>
      </c>
      <c r="F500" t="s">
        <v>41</v>
      </c>
      <c r="G500" t="s">
        <v>41</v>
      </c>
      <c r="H500" t="s">
        <v>66</v>
      </c>
      <c r="I500" t="s">
        <v>54</v>
      </c>
      <c r="J500">
        <v>1</v>
      </c>
    </row>
    <row r="501" spans="1:10">
      <c r="A501">
        <v>500</v>
      </c>
      <c r="B501" t="s">
        <v>22</v>
      </c>
      <c r="C501" t="s">
        <v>23</v>
      </c>
      <c r="D501" t="s">
        <v>35</v>
      </c>
      <c r="E501" t="s">
        <v>48</v>
      </c>
      <c r="F501" t="s">
        <v>41</v>
      </c>
      <c r="G501" t="s">
        <v>41</v>
      </c>
      <c r="H501" t="s">
        <v>57</v>
      </c>
      <c r="I501" t="s">
        <v>44</v>
      </c>
      <c r="J501">
        <v>1</v>
      </c>
    </row>
    <row r="502" spans="1:10">
      <c r="A502">
        <v>501</v>
      </c>
      <c r="B502" t="s">
        <v>17</v>
      </c>
      <c r="C502" t="s">
        <v>18</v>
      </c>
      <c r="D502" t="s">
        <v>19</v>
      </c>
      <c r="E502" t="s">
        <v>40</v>
      </c>
      <c r="F502" t="s">
        <v>61</v>
      </c>
      <c r="G502" t="s">
        <v>56</v>
      </c>
      <c r="H502" t="s">
        <v>41</v>
      </c>
      <c r="I502" t="s">
        <v>52</v>
      </c>
      <c r="J502">
        <v>0</v>
      </c>
    </row>
    <row r="503" spans="1:10">
      <c r="A503">
        <v>502</v>
      </c>
      <c r="B503" t="s">
        <v>20</v>
      </c>
      <c r="C503" t="s">
        <v>21</v>
      </c>
      <c r="D503" t="s">
        <v>35</v>
      </c>
      <c r="E503" t="s">
        <v>40</v>
      </c>
      <c r="F503" t="s">
        <v>41</v>
      </c>
      <c r="G503" t="s">
        <v>56</v>
      </c>
      <c r="H503" t="s">
        <v>41</v>
      </c>
      <c r="I503" t="s">
        <v>54</v>
      </c>
      <c r="J503">
        <v>1</v>
      </c>
    </row>
    <row r="504" spans="1:10">
      <c r="A504">
        <v>503</v>
      </c>
      <c r="B504" t="s">
        <v>22</v>
      </c>
      <c r="C504" t="s">
        <v>23</v>
      </c>
      <c r="D504" t="s">
        <v>35</v>
      </c>
      <c r="E504" t="s">
        <v>48</v>
      </c>
      <c r="F504" t="s">
        <v>41</v>
      </c>
      <c r="G504" t="s">
        <v>41</v>
      </c>
      <c r="H504" t="s">
        <v>66</v>
      </c>
      <c r="I504" t="s">
        <v>44</v>
      </c>
      <c r="J504">
        <v>1</v>
      </c>
    </row>
    <row r="505" spans="1:10">
      <c r="A505">
        <v>504</v>
      </c>
      <c r="B505" t="s">
        <v>17</v>
      </c>
      <c r="C505" t="s">
        <v>18</v>
      </c>
      <c r="D505" t="s">
        <v>19</v>
      </c>
      <c r="E505" t="s">
        <v>48</v>
      </c>
      <c r="F505" t="s">
        <v>55</v>
      </c>
      <c r="G505" t="s">
        <v>49</v>
      </c>
      <c r="H505" t="s">
        <v>63</v>
      </c>
      <c r="I505" t="s">
        <v>47</v>
      </c>
      <c r="J505">
        <v>0</v>
      </c>
    </row>
    <row r="506" spans="1:10">
      <c r="A506">
        <v>505</v>
      </c>
      <c r="B506" t="s">
        <v>22</v>
      </c>
      <c r="C506" t="s">
        <v>23</v>
      </c>
      <c r="D506" t="s">
        <v>35</v>
      </c>
      <c r="E506" t="s">
        <v>48</v>
      </c>
      <c r="F506" t="s">
        <v>41</v>
      </c>
      <c r="G506" t="s">
        <v>41</v>
      </c>
      <c r="H506" t="s">
        <v>66</v>
      </c>
      <c r="I506" t="s">
        <v>44</v>
      </c>
      <c r="J506">
        <v>1</v>
      </c>
    </row>
    <row r="507" spans="1:10">
      <c r="A507">
        <v>506</v>
      </c>
      <c r="B507" t="s">
        <v>20</v>
      </c>
      <c r="C507" t="s">
        <v>21</v>
      </c>
      <c r="D507" t="s">
        <v>19</v>
      </c>
      <c r="E507" t="s">
        <v>40</v>
      </c>
      <c r="F507" t="s">
        <v>41</v>
      </c>
      <c r="G507" t="s">
        <v>56</v>
      </c>
      <c r="H507" t="s">
        <v>67</v>
      </c>
      <c r="I507" t="s">
        <v>54</v>
      </c>
      <c r="J507">
        <v>1</v>
      </c>
    </row>
    <row r="508" spans="1:10">
      <c r="A508">
        <v>507</v>
      </c>
      <c r="B508" t="s">
        <v>22</v>
      </c>
      <c r="C508" t="s">
        <v>21</v>
      </c>
      <c r="D508" t="s">
        <v>32</v>
      </c>
      <c r="E508" t="s">
        <v>58</v>
      </c>
      <c r="F508" t="s">
        <v>41</v>
      </c>
      <c r="G508" t="s">
        <v>41</v>
      </c>
      <c r="H508" t="s">
        <v>67</v>
      </c>
      <c r="I508" t="s">
        <v>44</v>
      </c>
      <c r="J508">
        <v>1</v>
      </c>
    </row>
    <row r="509" spans="1:10">
      <c r="A509">
        <v>508</v>
      </c>
      <c r="B509" t="s">
        <v>31</v>
      </c>
      <c r="C509" t="s">
        <v>25</v>
      </c>
      <c r="D509" t="s">
        <v>30</v>
      </c>
      <c r="E509" t="s">
        <v>40</v>
      </c>
      <c r="F509" t="s">
        <v>41</v>
      </c>
      <c r="G509" t="s">
        <v>49</v>
      </c>
      <c r="H509" t="s">
        <v>67</v>
      </c>
      <c r="I509" t="s">
        <v>44</v>
      </c>
      <c r="J509">
        <v>1</v>
      </c>
    </row>
    <row r="510" spans="1:10">
      <c r="A510">
        <v>509</v>
      </c>
      <c r="B510" t="s">
        <v>17</v>
      </c>
      <c r="C510" t="s">
        <v>18</v>
      </c>
      <c r="D510" t="s">
        <v>19</v>
      </c>
      <c r="E510" t="s">
        <v>48</v>
      </c>
      <c r="F510" t="s">
        <v>41</v>
      </c>
      <c r="G510" t="s">
        <v>64</v>
      </c>
      <c r="H510" t="s">
        <v>67</v>
      </c>
      <c r="I510" t="s">
        <v>54</v>
      </c>
      <c r="J510">
        <v>0</v>
      </c>
    </row>
    <row r="511" spans="1:10">
      <c r="A511">
        <v>510</v>
      </c>
      <c r="B511" t="s">
        <v>36</v>
      </c>
      <c r="C511" t="s">
        <v>67</v>
      </c>
      <c r="D511" t="s">
        <v>30</v>
      </c>
      <c r="E511" t="s">
        <v>40</v>
      </c>
      <c r="F511" t="s">
        <v>41</v>
      </c>
      <c r="G511" t="s">
        <v>49</v>
      </c>
      <c r="H511" t="s">
        <v>57</v>
      </c>
      <c r="I511" t="s">
        <v>44</v>
      </c>
      <c r="J511">
        <v>0</v>
      </c>
    </row>
    <row r="512" spans="1:10">
      <c r="A512">
        <v>511</v>
      </c>
      <c r="B512" t="s">
        <v>36</v>
      </c>
      <c r="C512" t="s">
        <v>67</v>
      </c>
      <c r="D512" t="s">
        <v>30</v>
      </c>
      <c r="E512" t="s">
        <v>45</v>
      </c>
      <c r="F512" t="s">
        <v>55</v>
      </c>
      <c r="G512" t="s">
        <v>41</v>
      </c>
      <c r="H512" t="s">
        <v>67</v>
      </c>
      <c r="I512" t="s">
        <v>44</v>
      </c>
      <c r="J512">
        <v>0</v>
      </c>
    </row>
    <row r="513" spans="1:10">
      <c r="A513">
        <v>512</v>
      </c>
      <c r="B513" t="s">
        <v>36</v>
      </c>
      <c r="C513" t="s">
        <v>67</v>
      </c>
      <c r="D513" t="s">
        <v>39</v>
      </c>
      <c r="E513" t="s">
        <v>48</v>
      </c>
      <c r="F513" t="s">
        <v>41</v>
      </c>
      <c r="G513" t="s">
        <v>65</v>
      </c>
      <c r="H513" t="s">
        <v>67</v>
      </c>
      <c r="I513" t="s">
        <v>44</v>
      </c>
      <c r="J513">
        <v>0</v>
      </c>
    </row>
    <row r="514" spans="1:10">
      <c r="A514">
        <v>513</v>
      </c>
      <c r="B514" t="s">
        <v>36</v>
      </c>
      <c r="C514" t="s">
        <v>67</v>
      </c>
      <c r="D514" t="s">
        <v>19</v>
      </c>
      <c r="E514" t="s">
        <v>58</v>
      </c>
      <c r="F514" t="s">
        <v>55</v>
      </c>
      <c r="G514" t="s">
        <v>41</v>
      </c>
      <c r="H514" t="s">
        <v>67</v>
      </c>
      <c r="I514" t="s">
        <v>47</v>
      </c>
      <c r="J514">
        <v>0</v>
      </c>
    </row>
    <row r="515" spans="1:10">
      <c r="A515">
        <v>514</v>
      </c>
      <c r="B515" t="s">
        <v>36</v>
      </c>
      <c r="C515" t="s">
        <v>67</v>
      </c>
      <c r="D515" t="s">
        <v>39</v>
      </c>
      <c r="E515" t="s">
        <v>48</v>
      </c>
      <c r="F515" t="s">
        <v>41</v>
      </c>
      <c r="G515" t="s">
        <v>49</v>
      </c>
      <c r="H515" t="s">
        <v>67</v>
      </c>
      <c r="I515" t="s">
        <v>41</v>
      </c>
      <c r="J515">
        <v>0</v>
      </c>
    </row>
    <row r="516" spans="1:10">
      <c r="A516">
        <v>515</v>
      </c>
      <c r="B516" t="s">
        <v>36</v>
      </c>
      <c r="C516" t="s">
        <v>67</v>
      </c>
      <c r="D516" t="s">
        <v>19</v>
      </c>
      <c r="E516" t="s">
        <v>40</v>
      </c>
      <c r="F516" t="s">
        <v>67</v>
      </c>
      <c r="G516" t="s">
        <v>67</v>
      </c>
      <c r="H516" t="s">
        <v>67</v>
      </c>
      <c r="I516" t="s">
        <v>67</v>
      </c>
      <c r="J516">
        <v>0</v>
      </c>
    </row>
    <row r="517" spans="1:10">
      <c r="A517">
        <v>516</v>
      </c>
      <c r="B517" t="s">
        <v>17</v>
      </c>
      <c r="C517" t="s">
        <v>18</v>
      </c>
      <c r="D517" t="s">
        <v>30</v>
      </c>
      <c r="E517" t="s">
        <v>40</v>
      </c>
      <c r="F517" t="s">
        <v>41</v>
      </c>
      <c r="G517" t="s">
        <v>41</v>
      </c>
      <c r="H517" t="s">
        <v>67</v>
      </c>
      <c r="I517" t="s">
        <v>44</v>
      </c>
      <c r="J517">
        <v>0</v>
      </c>
    </row>
    <row r="518" spans="1:10">
      <c r="A518">
        <v>517</v>
      </c>
      <c r="B518" t="s">
        <v>17</v>
      </c>
      <c r="C518" t="s">
        <v>18</v>
      </c>
      <c r="D518" t="s">
        <v>39</v>
      </c>
      <c r="E518" t="s">
        <v>40</v>
      </c>
      <c r="F518" t="s">
        <v>55</v>
      </c>
      <c r="G518" t="s">
        <v>65</v>
      </c>
      <c r="H518" t="s">
        <v>67</v>
      </c>
      <c r="I518" t="s">
        <v>54</v>
      </c>
      <c r="J518">
        <v>0</v>
      </c>
    </row>
    <row r="519" spans="1:10">
      <c r="A519">
        <v>518</v>
      </c>
      <c r="B519" t="s">
        <v>17</v>
      </c>
      <c r="C519" t="s">
        <v>18</v>
      </c>
      <c r="D519" t="s">
        <v>39</v>
      </c>
      <c r="E519" t="s">
        <v>40</v>
      </c>
      <c r="F519" t="s">
        <v>41</v>
      </c>
      <c r="G519" t="s">
        <v>64</v>
      </c>
      <c r="H519" t="s">
        <v>67</v>
      </c>
      <c r="I519" t="s">
        <v>54</v>
      </c>
      <c r="J519">
        <v>0</v>
      </c>
    </row>
    <row r="520" spans="1:10">
      <c r="A520">
        <v>519</v>
      </c>
      <c r="B520" t="s">
        <v>17</v>
      </c>
      <c r="C520" t="s">
        <v>18</v>
      </c>
      <c r="D520" t="s">
        <v>19</v>
      </c>
      <c r="E520" t="s">
        <v>40</v>
      </c>
      <c r="F520" t="s">
        <v>41</v>
      </c>
      <c r="G520" t="s">
        <v>41</v>
      </c>
      <c r="H520" t="s">
        <v>67</v>
      </c>
      <c r="I520" t="s">
        <v>47</v>
      </c>
      <c r="J520">
        <v>0</v>
      </c>
    </row>
    <row r="521" spans="1:10">
      <c r="A521">
        <v>520</v>
      </c>
      <c r="B521" t="s">
        <v>17</v>
      </c>
      <c r="C521" t="s">
        <v>18</v>
      </c>
      <c r="D521" t="s">
        <v>26</v>
      </c>
      <c r="E521" t="s">
        <v>40</v>
      </c>
      <c r="F521" t="s">
        <v>41</v>
      </c>
      <c r="G521" t="s">
        <v>65</v>
      </c>
      <c r="H521" t="s">
        <v>67</v>
      </c>
      <c r="I521" t="s">
        <v>44</v>
      </c>
      <c r="J521">
        <v>0</v>
      </c>
    </row>
    <row r="522" spans="1:10">
      <c r="A522">
        <v>521</v>
      </c>
      <c r="B522" t="s">
        <v>17</v>
      </c>
      <c r="C522" t="s">
        <v>18</v>
      </c>
      <c r="D522" t="s">
        <v>26</v>
      </c>
      <c r="E522" t="s">
        <v>40</v>
      </c>
      <c r="F522" t="s">
        <v>41</v>
      </c>
      <c r="G522" t="s">
        <v>41</v>
      </c>
      <c r="H522" t="s">
        <v>67</v>
      </c>
      <c r="I522" t="s">
        <v>54</v>
      </c>
      <c r="J522">
        <v>0</v>
      </c>
    </row>
    <row r="523" spans="1:10">
      <c r="A523">
        <v>522</v>
      </c>
      <c r="B523" t="s">
        <v>17</v>
      </c>
      <c r="C523" t="s">
        <v>18</v>
      </c>
      <c r="D523" t="s">
        <v>19</v>
      </c>
      <c r="E523" t="s">
        <v>40</v>
      </c>
      <c r="F523" t="s">
        <v>41</v>
      </c>
      <c r="G523" t="s">
        <v>41</v>
      </c>
      <c r="H523" t="s">
        <v>67</v>
      </c>
      <c r="I523" t="s">
        <v>41</v>
      </c>
      <c r="J523">
        <v>0</v>
      </c>
    </row>
    <row r="524" spans="1:10">
      <c r="A524">
        <v>523</v>
      </c>
      <c r="B524" t="s">
        <v>17</v>
      </c>
      <c r="C524" t="s">
        <v>23</v>
      </c>
      <c r="D524" t="s">
        <v>32</v>
      </c>
      <c r="E524" t="s">
        <v>48</v>
      </c>
      <c r="F524" t="s">
        <v>41</v>
      </c>
      <c r="G524" t="s">
        <v>41</v>
      </c>
      <c r="H524" t="s">
        <v>67</v>
      </c>
      <c r="I524" t="s">
        <v>44</v>
      </c>
      <c r="J524">
        <v>1</v>
      </c>
    </row>
    <row r="525" spans="1:10">
      <c r="A525">
        <v>524</v>
      </c>
      <c r="B525" t="s">
        <v>17</v>
      </c>
      <c r="C525" t="s">
        <v>18</v>
      </c>
      <c r="D525" t="s">
        <v>19</v>
      </c>
      <c r="E525" t="s">
        <v>40</v>
      </c>
      <c r="F525" t="s">
        <v>41</v>
      </c>
      <c r="G525" t="s">
        <v>41</v>
      </c>
      <c r="H525" t="s">
        <v>67</v>
      </c>
      <c r="I525" t="s">
        <v>41</v>
      </c>
      <c r="J525">
        <v>0</v>
      </c>
    </row>
    <row r="526" spans="1:10">
      <c r="A526">
        <v>525</v>
      </c>
      <c r="B526" t="s">
        <v>36</v>
      </c>
      <c r="C526" t="s">
        <v>67</v>
      </c>
      <c r="D526" t="s">
        <v>19</v>
      </c>
      <c r="E526" t="s">
        <v>48</v>
      </c>
      <c r="F526" t="s">
        <v>41</v>
      </c>
      <c r="G526" t="s">
        <v>64</v>
      </c>
      <c r="H526" t="s">
        <v>67</v>
      </c>
      <c r="I526" t="s">
        <v>41</v>
      </c>
      <c r="J526">
        <v>1</v>
      </c>
    </row>
    <row r="527" spans="1:10">
      <c r="A527">
        <v>526</v>
      </c>
      <c r="B527" t="s">
        <v>36</v>
      </c>
      <c r="C527" t="s">
        <v>67</v>
      </c>
      <c r="D527" t="s">
        <v>39</v>
      </c>
      <c r="E527" t="s">
        <v>40</v>
      </c>
      <c r="F527" t="s">
        <v>55</v>
      </c>
      <c r="G527" t="s">
        <v>41</v>
      </c>
      <c r="H527" t="s">
        <v>67</v>
      </c>
      <c r="I527" t="s">
        <v>53</v>
      </c>
      <c r="J527">
        <v>0</v>
      </c>
    </row>
    <row r="528" spans="1:10">
      <c r="A528">
        <v>527</v>
      </c>
      <c r="B528" t="s">
        <v>36</v>
      </c>
      <c r="C528" t="s">
        <v>67</v>
      </c>
      <c r="D528" t="s">
        <v>34</v>
      </c>
      <c r="E528" t="s">
        <v>40</v>
      </c>
      <c r="F528" t="s">
        <v>41</v>
      </c>
      <c r="G528" t="s">
        <v>41</v>
      </c>
      <c r="H528" t="s">
        <v>67</v>
      </c>
      <c r="I528" t="s">
        <v>44</v>
      </c>
      <c r="J528">
        <v>0</v>
      </c>
    </row>
    <row r="529" spans="1:10">
      <c r="A529">
        <v>528</v>
      </c>
      <c r="B529" t="s">
        <v>36</v>
      </c>
      <c r="C529" t="s">
        <v>67</v>
      </c>
      <c r="D529" t="s">
        <v>19</v>
      </c>
      <c r="E529" t="s">
        <v>40</v>
      </c>
      <c r="F529" t="s">
        <v>41</v>
      </c>
      <c r="G529" t="s">
        <v>41</v>
      </c>
      <c r="H529" t="s">
        <v>67</v>
      </c>
      <c r="I529" t="s">
        <v>44</v>
      </c>
      <c r="J529">
        <v>0</v>
      </c>
    </row>
    <row r="530" spans="1:10">
      <c r="A530">
        <v>529</v>
      </c>
      <c r="B530" t="s">
        <v>36</v>
      </c>
      <c r="C530" t="s">
        <v>67</v>
      </c>
      <c r="D530" t="s">
        <v>19</v>
      </c>
      <c r="E530" t="s">
        <v>48</v>
      </c>
      <c r="F530" t="s">
        <v>41</v>
      </c>
      <c r="G530" t="s">
        <v>41</v>
      </c>
      <c r="H530" t="s">
        <v>67</v>
      </c>
      <c r="I530" t="s">
        <v>41</v>
      </c>
      <c r="J530">
        <v>0</v>
      </c>
    </row>
    <row r="531" spans="1:10">
      <c r="A531">
        <v>530</v>
      </c>
      <c r="B531" t="s">
        <v>36</v>
      </c>
      <c r="C531" t="s">
        <v>67</v>
      </c>
      <c r="D531" t="s">
        <v>19</v>
      </c>
      <c r="E531" t="s">
        <v>48</v>
      </c>
      <c r="F531" t="s">
        <v>55</v>
      </c>
      <c r="G531" t="s">
        <v>41</v>
      </c>
      <c r="H531" t="s">
        <v>67</v>
      </c>
      <c r="I531" t="s">
        <v>52</v>
      </c>
      <c r="J531">
        <v>1</v>
      </c>
    </row>
    <row r="532" spans="1:10">
      <c r="A532">
        <v>531</v>
      </c>
      <c r="B532" t="s">
        <v>36</v>
      </c>
      <c r="C532" t="s">
        <v>67</v>
      </c>
      <c r="D532" t="s">
        <v>19</v>
      </c>
      <c r="E532" t="s">
        <v>48</v>
      </c>
      <c r="F532" t="s">
        <v>55</v>
      </c>
      <c r="G532" t="s">
        <v>41</v>
      </c>
      <c r="H532" t="s">
        <v>67</v>
      </c>
      <c r="I532" t="s">
        <v>52</v>
      </c>
      <c r="J532">
        <v>0</v>
      </c>
    </row>
    <row r="533" spans="1:10">
      <c r="A533">
        <v>532</v>
      </c>
      <c r="B533" t="s">
        <v>36</v>
      </c>
      <c r="C533" t="s">
        <v>67</v>
      </c>
      <c r="D533" t="s">
        <v>26</v>
      </c>
      <c r="E533" t="s">
        <v>67</v>
      </c>
      <c r="F533" t="s">
        <v>67</v>
      </c>
      <c r="G533" t="s">
        <v>41</v>
      </c>
      <c r="H533" t="s">
        <v>67</v>
      </c>
      <c r="I533" t="s">
        <v>41</v>
      </c>
      <c r="J533">
        <v>0</v>
      </c>
    </row>
    <row r="534" spans="1:10">
      <c r="A534">
        <v>533</v>
      </c>
      <c r="B534" t="s">
        <v>36</v>
      </c>
      <c r="C534" t="s">
        <v>67</v>
      </c>
      <c r="D534" t="s">
        <v>19</v>
      </c>
      <c r="E534" t="s">
        <v>48</v>
      </c>
      <c r="F534" t="s">
        <v>41</v>
      </c>
      <c r="G534" t="s">
        <v>41</v>
      </c>
      <c r="H534" t="s">
        <v>67</v>
      </c>
      <c r="I534" t="s">
        <v>41</v>
      </c>
      <c r="J534">
        <v>0</v>
      </c>
    </row>
    <row r="535" spans="1:10">
      <c r="A535">
        <v>534</v>
      </c>
      <c r="B535" t="s">
        <v>36</v>
      </c>
      <c r="C535" t="s">
        <v>67</v>
      </c>
      <c r="D535" t="s">
        <v>19</v>
      </c>
      <c r="E535" t="s">
        <v>40</v>
      </c>
      <c r="F535" t="s">
        <v>41</v>
      </c>
      <c r="G535" t="s">
        <v>41</v>
      </c>
      <c r="H535" t="s">
        <v>67</v>
      </c>
      <c r="I535" t="s">
        <v>44</v>
      </c>
      <c r="J535">
        <v>1</v>
      </c>
    </row>
    <row r="536" spans="1:10">
      <c r="A536">
        <v>535</v>
      </c>
      <c r="B536" t="s">
        <v>36</v>
      </c>
      <c r="C536" t="s">
        <v>67</v>
      </c>
      <c r="D536" t="s">
        <v>19</v>
      </c>
      <c r="E536" t="s">
        <v>58</v>
      </c>
      <c r="F536" t="s">
        <v>55</v>
      </c>
      <c r="G536" t="s">
        <v>41</v>
      </c>
      <c r="H536" t="s">
        <v>67</v>
      </c>
      <c r="I536" t="s">
        <v>47</v>
      </c>
      <c r="J536">
        <v>0</v>
      </c>
    </row>
    <row r="537" spans="1:10">
      <c r="A537">
        <v>536</v>
      </c>
      <c r="B537" t="s">
        <v>36</v>
      </c>
      <c r="C537" t="s">
        <v>67</v>
      </c>
      <c r="D537" t="s">
        <v>19</v>
      </c>
      <c r="E537" t="s">
        <v>40</v>
      </c>
      <c r="F537" t="s">
        <v>41</v>
      </c>
      <c r="G537" t="s">
        <v>67</v>
      </c>
      <c r="H537" t="s">
        <v>67</v>
      </c>
      <c r="I537" t="s">
        <v>44</v>
      </c>
      <c r="J537">
        <v>0</v>
      </c>
    </row>
    <row r="538" spans="1:10">
      <c r="A538">
        <v>537</v>
      </c>
      <c r="B538" t="s">
        <v>36</v>
      </c>
      <c r="C538" t="s">
        <v>67</v>
      </c>
      <c r="D538" t="s">
        <v>26</v>
      </c>
      <c r="E538" t="s">
        <v>48</v>
      </c>
      <c r="F538" t="s">
        <v>41</v>
      </c>
      <c r="G538" t="s">
        <v>65</v>
      </c>
      <c r="H538" t="s">
        <v>67</v>
      </c>
      <c r="I538" t="s">
        <v>47</v>
      </c>
      <c r="J538">
        <v>0</v>
      </c>
    </row>
    <row r="539" spans="1:10">
      <c r="A539">
        <v>538</v>
      </c>
      <c r="B539" t="s">
        <v>36</v>
      </c>
      <c r="C539" t="s">
        <v>67</v>
      </c>
      <c r="D539" t="s">
        <v>19</v>
      </c>
      <c r="E539" t="s">
        <v>40</v>
      </c>
      <c r="F539" t="s">
        <v>41</v>
      </c>
      <c r="G539" t="s">
        <v>49</v>
      </c>
      <c r="H539" t="s">
        <v>67</v>
      </c>
      <c r="I539" t="s">
        <v>52</v>
      </c>
      <c r="J539">
        <v>0</v>
      </c>
    </row>
    <row r="540" spans="1:10">
      <c r="A540">
        <v>539</v>
      </c>
      <c r="B540" t="s">
        <v>36</v>
      </c>
      <c r="C540" t="s">
        <v>67</v>
      </c>
      <c r="D540" t="s">
        <v>19</v>
      </c>
      <c r="E540" t="s">
        <v>48</v>
      </c>
      <c r="F540" t="s">
        <v>41</v>
      </c>
      <c r="G540" t="s">
        <v>41</v>
      </c>
      <c r="H540" t="s">
        <v>67</v>
      </c>
      <c r="I540" t="s">
        <v>41</v>
      </c>
      <c r="J540">
        <v>0</v>
      </c>
    </row>
    <row r="541" spans="1:10">
      <c r="A541">
        <v>540</v>
      </c>
      <c r="B541" t="s">
        <v>36</v>
      </c>
      <c r="C541" t="s">
        <v>67</v>
      </c>
      <c r="D541" t="s">
        <v>19</v>
      </c>
      <c r="E541" t="s">
        <v>48</v>
      </c>
      <c r="F541" t="s">
        <v>41</v>
      </c>
      <c r="G541" t="s">
        <v>41</v>
      </c>
      <c r="H541" t="s">
        <v>67</v>
      </c>
      <c r="I541" t="s">
        <v>67</v>
      </c>
      <c r="J541">
        <v>0</v>
      </c>
    </row>
    <row r="542" spans="1:10">
      <c r="A542">
        <v>541</v>
      </c>
      <c r="B542" t="s">
        <v>36</v>
      </c>
      <c r="C542" t="s">
        <v>67</v>
      </c>
      <c r="D542" t="s">
        <v>39</v>
      </c>
      <c r="E542" t="s">
        <v>58</v>
      </c>
      <c r="F542" t="s">
        <v>41</v>
      </c>
      <c r="G542" t="s">
        <v>65</v>
      </c>
      <c r="H542" t="s">
        <v>67</v>
      </c>
      <c r="I542" t="s">
        <v>54</v>
      </c>
      <c r="J542">
        <v>0</v>
      </c>
    </row>
    <row r="543" spans="1:10">
      <c r="A543">
        <v>542</v>
      </c>
      <c r="B543" t="s">
        <v>36</v>
      </c>
      <c r="C543" t="s">
        <v>67</v>
      </c>
      <c r="D543" t="s">
        <v>19</v>
      </c>
      <c r="E543" t="s">
        <v>40</v>
      </c>
      <c r="F543" t="s">
        <v>67</v>
      </c>
      <c r="G543" t="s">
        <v>67</v>
      </c>
      <c r="H543" t="s">
        <v>67</v>
      </c>
      <c r="I543" t="s">
        <v>67</v>
      </c>
      <c r="J543">
        <v>0</v>
      </c>
    </row>
    <row r="544" spans="1:10">
      <c r="A544">
        <v>543</v>
      </c>
      <c r="B544" t="s">
        <v>36</v>
      </c>
      <c r="C544" t="s">
        <v>67</v>
      </c>
      <c r="D544" t="s">
        <v>34</v>
      </c>
      <c r="E544" t="s">
        <v>67</v>
      </c>
      <c r="F544" t="s">
        <v>67</v>
      </c>
      <c r="G544" t="s">
        <v>67</v>
      </c>
      <c r="H544" t="s">
        <v>67</v>
      </c>
      <c r="I544" t="s">
        <v>67</v>
      </c>
      <c r="J544">
        <v>0</v>
      </c>
    </row>
    <row r="545" spans="1:10">
      <c r="A545">
        <v>544</v>
      </c>
      <c r="B545" t="s">
        <v>36</v>
      </c>
      <c r="C545" t="s">
        <v>67</v>
      </c>
      <c r="D545" t="s">
        <v>19</v>
      </c>
      <c r="E545" t="s">
        <v>40</v>
      </c>
      <c r="F545" t="s">
        <v>41</v>
      </c>
      <c r="G545" t="s">
        <v>41</v>
      </c>
      <c r="H545" t="s">
        <v>67</v>
      </c>
      <c r="I545" t="s">
        <v>67</v>
      </c>
      <c r="J545">
        <v>0</v>
      </c>
    </row>
    <row r="546" spans="1:10">
      <c r="A546">
        <v>545</v>
      </c>
      <c r="B546" t="s">
        <v>36</v>
      </c>
      <c r="C546" t="s">
        <v>67</v>
      </c>
      <c r="D546" t="s">
        <v>26</v>
      </c>
      <c r="E546" t="s">
        <v>40</v>
      </c>
      <c r="F546" t="s">
        <v>41</v>
      </c>
      <c r="G546" t="s">
        <v>67</v>
      </c>
      <c r="H546" t="s">
        <v>67</v>
      </c>
      <c r="I546" t="s">
        <v>67</v>
      </c>
      <c r="J546">
        <v>0</v>
      </c>
    </row>
    <row r="547" spans="1:10">
      <c r="A547">
        <v>546</v>
      </c>
      <c r="B547" t="s">
        <v>36</v>
      </c>
      <c r="C547" t="s">
        <v>67</v>
      </c>
      <c r="D547" t="s">
        <v>19</v>
      </c>
      <c r="E547" t="s">
        <v>40</v>
      </c>
      <c r="F547" t="s">
        <v>41</v>
      </c>
      <c r="G547" t="s">
        <v>67</v>
      </c>
      <c r="H547" t="s">
        <v>67</v>
      </c>
      <c r="I547" t="s">
        <v>67</v>
      </c>
      <c r="J547">
        <v>0</v>
      </c>
    </row>
    <row r="548" spans="1:10">
      <c r="A548">
        <v>547</v>
      </c>
      <c r="B548" t="s">
        <v>36</v>
      </c>
      <c r="C548" t="s">
        <v>67</v>
      </c>
      <c r="D548" t="s">
        <v>19</v>
      </c>
      <c r="E548" t="s">
        <v>67</v>
      </c>
      <c r="F548" t="s">
        <v>67</v>
      </c>
      <c r="G548" t="s">
        <v>67</v>
      </c>
      <c r="H548" t="s">
        <v>67</v>
      </c>
      <c r="I548" t="s">
        <v>67</v>
      </c>
      <c r="J548">
        <v>0</v>
      </c>
    </row>
    <row r="549" spans="1:10">
      <c r="A549">
        <v>548</v>
      </c>
      <c r="B549" t="s">
        <v>36</v>
      </c>
      <c r="C549" t="s">
        <v>67</v>
      </c>
      <c r="D549" t="s">
        <v>19</v>
      </c>
      <c r="E549" t="s">
        <v>48</v>
      </c>
      <c r="F549" t="s">
        <v>41</v>
      </c>
      <c r="G549" t="s">
        <v>41</v>
      </c>
      <c r="H549" t="s">
        <v>67</v>
      </c>
      <c r="I549" t="s">
        <v>67</v>
      </c>
      <c r="J549">
        <v>0</v>
      </c>
    </row>
    <row r="550" spans="1:10">
      <c r="A550">
        <v>549</v>
      </c>
      <c r="B550" t="s">
        <v>17</v>
      </c>
      <c r="C550" t="s">
        <v>18</v>
      </c>
      <c r="D550" t="s">
        <v>26</v>
      </c>
      <c r="E550" t="s">
        <v>58</v>
      </c>
      <c r="F550" t="s">
        <v>41</v>
      </c>
      <c r="G550" t="s">
        <v>41</v>
      </c>
      <c r="H550" t="s">
        <v>67</v>
      </c>
      <c r="I550" t="s">
        <v>41</v>
      </c>
      <c r="J550">
        <v>0</v>
      </c>
    </row>
    <row r="551" spans="1:10">
      <c r="A551">
        <v>550</v>
      </c>
      <c r="B551" t="s">
        <v>17</v>
      </c>
      <c r="C551" t="s">
        <v>18</v>
      </c>
      <c r="D551" t="s">
        <v>26</v>
      </c>
      <c r="E551" t="s">
        <v>42</v>
      </c>
      <c r="F551" t="s">
        <v>41</v>
      </c>
      <c r="G551" t="s">
        <v>65</v>
      </c>
      <c r="H551" t="s">
        <v>67</v>
      </c>
      <c r="I551" t="s">
        <v>47</v>
      </c>
      <c r="J551">
        <v>0</v>
      </c>
    </row>
    <row r="552" spans="1:10">
      <c r="A552">
        <v>551</v>
      </c>
      <c r="B552" t="s">
        <v>17</v>
      </c>
      <c r="C552" t="s">
        <v>18</v>
      </c>
      <c r="D552" t="s">
        <v>26</v>
      </c>
      <c r="E552" t="s">
        <v>42</v>
      </c>
      <c r="F552" t="s">
        <v>41</v>
      </c>
      <c r="G552" t="s">
        <v>65</v>
      </c>
      <c r="H552" t="s">
        <v>67</v>
      </c>
      <c r="I552" t="s">
        <v>47</v>
      </c>
      <c r="J552">
        <v>0</v>
      </c>
    </row>
    <row r="553" spans="1:10">
      <c r="A553">
        <v>552</v>
      </c>
      <c r="B553" t="s">
        <v>17</v>
      </c>
      <c r="C553" t="s">
        <v>18</v>
      </c>
      <c r="D553" t="s">
        <v>26</v>
      </c>
      <c r="E553" t="s">
        <v>42</v>
      </c>
      <c r="F553" t="s">
        <v>41</v>
      </c>
      <c r="G553" t="s">
        <v>41</v>
      </c>
      <c r="H553" t="s">
        <v>67</v>
      </c>
      <c r="I553" t="s">
        <v>44</v>
      </c>
      <c r="J553">
        <v>0</v>
      </c>
    </row>
    <row r="554" spans="1:10">
      <c r="A554">
        <v>553</v>
      </c>
      <c r="B554" t="s">
        <v>36</v>
      </c>
      <c r="C554" t="s">
        <v>67</v>
      </c>
      <c r="D554" t="s">
        <v>33</v>
      </c>
      <c r="E554" t="s">
        <v>42</v>
      </c>
      <c r="F554" t="s">
        <v>41</v>
      </c>
      <c r="G554" t="s">
        <v>65</v>
      </c>
      <c r="H554" t="s">
        <v>67</v>
      </c>
      <c r="I554" t="s">
        <v>41</v>
      </c>
      <c r="J554">
        <v>0</v>
      </c>
    </row>
    <row r="555" spans="1:10">
      <c r="A555">
        <v>554</v>
      </c>
      <c r="B555" t="s">
        <v>36</v>
      </c>
      <c r="C555" t="s">
        <v>67</v>
      </c>
      <c r="D555" t="s">
        <v>33</v>
      </c>
      <c r="E555" t="s">
        <v>58</v>
      </c>
      <c r="F555" t="s">
        <v>41</v>
      </c>
      <c r="G555" t="s">
        <v>56</v>
      </c>
      <c r="H555" t="s">
        <v>67</v>
      </c>
      <c r="I555" t="s">
        <v>41</v>
      </c>
      <c r="J555">
        <v>0</v>
      </c>
    </row>
    <row r="556" spans="1:10">
      <c r="A556">
        <v>555</v>
      </c>
      <c r="B556" t="s">
        <v>36</v>
      </c>
      <c r="C556" t="s">
        <v>67</v>
      </c>
      <c r="D556" t="s">
        <v>30</v>
      </c>
      <c r="E556" t="s">
        <v>58</v>
      </c>
      <c r="F556" t="s">
        <v>41</v>
      </c>
      <c r="G556" t="s">
        <v>56</v>
      </c>
      <c r="H556" t="s">
        <v>67</v>
      </c>
      <c r="I556" t="s">
        <v>41</v>
      </c>
      <c r="J556">
        <v>0</v>
      </c>
    </row>
    <row r="557" spans="1:10">
      <c r="A557">
        <v>556</v>
      </c>
      <c r="B557" t="s">
        <v>36</v>
      </c>
      <c r="C557" t="s">
        <v>67</v>
      </c>
      <c r="D557" t="s">
        <v>39</v>
      </c>
      <c r="E557" t="s">
        <v>40</v>
      </c>
      <c r="F557" t="s">
        <v>55</v>
      </c>
      <c r="G557" t="s">
        <v>41</v>
      </c>
      <c r="H557" t="s">
        <v>67</v>
      </c>
      <c r="I557" t="s">
        <v>67</v>
      </c>
      <c r="J557">
        <v>0</v>
      </c>
    </row>
    <row r="558" spans="1:10">
      <c r="A558">
        <v>557</v>
      </c>
      <c r="B558" t="s">
        <v>17</v>
      </c>
      <c r="C558" t="s">
        <v>21</v>
      </c>
      <c r="D558" t="s">
        <v>19</v>
      </c>
      <c r="E558" t="s">
        <v>40</v>
      </c>
      <c r="F558" t="s">
        <v>61</v>
      </c>
      <c r="G558" t="s">
        <v>41</v>
      </c>
      <c r="H558" t="s">
        <v>67</v>
      </c>
      <c r="I558" t="s">
        <v>54</v>
      </c>
      <c r="J558">
        <v>0</v>
      </c>
    </row>
  </sheetData>
  <autoFilter xmlns:etc="http://www.wps.cn/officeDocument/2017/etCustomData" ref="A1:J558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opLeftCell="A12" workbookViewId="0">
      <selection activeCell="D291" sqref="D291"/>
    </sheetView>
  </sheetViews>
  <sheetFormatPr defaultColWidth="9" defaultRowHeight="16.8" outlineLevelCol="4"/>
  <cols>
    <col min="1" max="1" width="7" customWidth="1"/>
    <col min="2" max="2" width="9" customWidth="1"/>
    <col min="3" max="3" width="48.6328125" customWidth="1"/>
    <col min="4" max="4" width="73.3671875" customWidth="1"/>
    <col min="5" max="5" width="14.453125" customWidth="1"/>
  </cols>
  <sheetData>
    <row r="1" s="47" customFormat="1" spans="2:5">
      <c r="B1"/>
      <c r="C1"/>
      <c r="D1"/>
      <c r="E1"/>
    </row>
    <row r="2" spans="1:5">
      <c r="A2" t="s">
        <v>68</v>
      </c>
      <c r="B2" s="48" t="s">
        <v>69</v>
      </c>
      <c r="C2" s="48" t="s">
        <v>70</v>
      </c>
      <c r="D2" s="48"/>
      <c r="E2" s="48" t="s">
        <v>71</v>
      </c>
    </row>
    <row r="3" spans="1:5">
      <c r="A3" t="str">
        <f>CONCATENATE(C3,D3)</f>
        <v>Debt restructuring historyNever restructured debt</v>
      </c>
      <c r="B3" s="49" t="s">
        <v>72</v>
      </c>
      <c r="C3" s="50" t="s">
        <v>8</v>
      </c>
      <c r="D3" s="3" t="s">
        <v>36</v>
      </c>
      <c r="E3" s="3">
        <v>0</v>
      </c>
    </row>
    <row r="4" spans="1:5">
      <c r="A4" t="str">
        <f t="shared" ref="A4:A35" si="0">CONCATENATE(C4,D4)</f>
        <v>Debt restructuring historyNo debt restructuring history</v>
      </c>
      <c r="B4" s="49"/>
      <c r="C4" s="50" t="s">
        <v>8</v>
      </c>
      <c r="D4" s="3" t="s">
        <v>17</v>
      </c>
      <c r="E4" s="3">
        <v>0</v>
      </c>
    </row>
    <row r="5" spans="1:5">
      <c r="A5" t="str">
        <f t="shared" si="0"/>
        <v>Debt restructuring historyRestructured debt in the past</v>
      </c>
      <c r="B5" s="49"/>
      <c r="C5" s="50" t="s">
        <v>8</v>
      </c>
      <c r="D5" s="3" t="s">
        <v>37</v>
      </c>
      <c r="E5" s="3">
        <v>-50</v>
      </c>
    </row>
    <row r="6" spans="1:5">
      <c r="A6" t="str">
        <f t="shared" si="0"/>
        <v>Debt restructuring historyRestructured debt with regular payments for more than 12 months</v>
      </c>
      <c r="B6" s="49"/>
      <c r="C6" s="50" t="s">
        <v>8</v>
      </c>
      <c r="D6" s="3" t="s">
        <v>20</v>
      </c>
      <c r="E6" s="3">
        <v>-50</v>
      </c>
    </row>
    <row r="7" spans="1:5">
      <c r="A7" t="str">
        <f t="shared" si="0"/>
        <v>Debt restructuring historyRestructured debt with regular payments for less than 6 months</v>
      </c>
      <c r="B7" s="49"/>
      <c r="C7" s="50" t="s">
        <v>8</v>
      </c>
      <c r="D7" s="3" t="s">
        <v>31</v>
      </c>
      <c r="E7" s="3">
        <v>-100</v>
      </c>
    </row>
    <row r="8" spans="1:5">
      <c r="A8" t="str">
        <f t="shared" si="0"/>
        <v>Debt restructuring historyRestructured debt with regular payments for 6-12 months</v>
      </c>
      <c r="B8" s="49"/>
      <c r="C8" s="50" t="s">
        <v>8</v>
      </c>
      <c r="D8" s="3" t="s">
        <v>22</v>
      </c>
      <c r="E8" s="3">
        <v>-100</v>
      </c>
    </row>
    <row r="9" spans="1:5">
      <c r="A9" t="str">
        <f t="shared" si="0"/>
        <v>Debt restructuring historyCredit bureau check not performed</v>
      </c>
      <c r="B9" s="49"/>
      <c r="C9" s="50" t="s">
        <v>8</v>
      </c>
      <c r="D9" s="3" t="s">
        <v>29</v>
      </c>
      <c r="E9" s="3">
        <v>0</v>
      </c>
    </row>
    <row r="10" spans="1:5">
      <c r="A10" t="str">
        <f t="shared" si="0"/>
        <v>Debt restructuring historyNot available</v>
      </c>
      <c r="B10" s="49"/>
      <c r="C10" s="50" t="s">
        <v>8</v>
      </c>
      <c r="D10" s="3" t="s">
        <v>67</v>
      </c>
      <c r="E10" s="3">
        <v>0</v>
      </c>
    </row>
    <row r="11" spans="1:5">
      <c r="A11" t="str">
        <f t="shared" si="0"/>
        <v>Debt rescheduling history (reschedule)No debt rescheduling history (payment term relief)</v>
      </c>
      <c r="B11" s="51" t="s">
        <v>73</v>
      </c>
      <c r="C11" s="52" t="s">
        <v>9</v>
      </c>
      <c r="D11" s="53" t="s">
        <v>18</v>
      </c>
      <c r="E11" s="56">
        <v>0</v>
      </c>
    </row>
    <row r="12" spans="1:5">
      <c r="A12" t="str">
        <f t="shared" si="0"/>
        <v>Debt rescheduling history (reschedule)Rescheduled debt with regular payments for more than 12 months</v>
      </c>
      <c r="B12" s="51"/>
      <c r="C12" s="52" t="s">
        <v>9</v>
      </c>
      <c r="D12" s="53" t="s">
        <v>21</v>
      </c>
      <c r="E12" s="56">
        <v>-50</v>
      </c>
    </row>
    <row r="13" spans="1:5">
      <c r="A13" t="str">
        <f t="shared" si="0"/>
        <v>Debt rescheduling history (reschedule)Rescheduled debt with regular payments for less than 6 months</v>
      </c>
      <c r="B13" s="51"/>
      <c r="C13" s="52" t="s">
        <v>9</v>
      </c>
      <c r="D13" s="53" t="s">
        <v>25</v>
      </c>
      <c r="E13" s="56">
        <v>-100</v>
      </c>
    </row>
    <row r="14" spans="1:5">
      <c r="A14" t="str">
        <f t="shared" si="0"/>
        <v>Debt rescheduling history (reschedule)Rescheduled debt with regular payments for 6-12 months</v>
      </c>
      <c r="B14" s="51"/>
      <c r="C14" s="52" t="s">
        <v>9</v>
      </c>
      <c r="D14" s="53" t="s">
        <v>23</v>
      </c>
      <c r="E14" s="56">
        <v>-100</v>
      </c>
    </row>
    <row r="15" spans="1:5">
      <c r="A15" t="str">
        <f t="shared" si="0"/>
        <v>Debt rescheduling history (reschedule)Not available</v>
      </c>
      <c r="B15" s="51"/>
      <c r="C15" s="52" t="s">
        <v>9</v>
      </c>
      <c r="D15" s="53" t="s">
        <v>67</v>
      </c>
      <c r="E15" s="56">
        <v>0</v>
      </c>
    </row>
    <row r="16" spans="1:5">
      <c r="A16" t="str">
        <f t="shared" si="0"/>
        <v>Worst credit bureau delinquency record in the past 2 yearsRecord found in credit bureau but no delinquency history</v>
      </c>
      <c r="B16" s="54" t="s">
        <v>74</v>
      </c>
      <c r="C16" s="50" t="s">
        <v>10</v>
      </c>
      <c r="D16" s="3" t="s">
        <v>19</v>
      </c>
      <c r="E16" s="63">
        <v>100</v>
      </c>
    </row>
    <row r="17" spans="1:5">
      <c r="A17" t="str">
        <f t="shared" si="0"/>
        <v>Worst credit bureau delinquency record in the past 2 yearsCredit bureau check not performed (exempted)</v>
      </c>
      <c r="B17" s="54"/>
      <c r="C17" s="50" t="s">
        <v>10</v>
      </c>
      <c r="D17" s="3" t="s">
        <v>27</v>
      </c>
      <c r="E17" s="63">
        <v>100</v>
      </c>
    </row>
    <row r="18" spans="1:5">
      <c r="A18" t="str">
        <f t="shared" si="0"/>
        <v>Worst credit bureau delinquency record in the past 2 yearsNo record found in credit bureau</v>
      </c>
      <c r="B18" s="54"/>
      <c r="C18" s="50" t="s">
        <v>10</v>
      </c>
      <c r="D18" s="3" t="s">
        <v>34</v>
      </c>
      <c r="E18" s="63">
        <v>0</v>
      </c>
    </row>
    <row r="19" spans="1:5">
      <c r="A19" t="str">
        <f t="shared" si="0"/>
        <v>Worst credit bureau delinquency record in the past 2 yearsOverdue 1–30 days more than 1 year ago</v>
      </c>
      <c r="B19" s="54"/>
      <c r="C19" s="50" t="s">
        <v>10</v>
      </c>
      <c r="D19" s="3" t="s">
        <v>39</v>
      </c>
      <c r="E19" s="63">
        <v>-25</v>
      </c>
    </row>
    <row r="20" spans="1:5">
      <c r="A20" t="str">
        <f t="shared" si="0"/>
        <v>Worst credit bureau delinquency record in the past 2 yearsOverdue 1-30 days within the past 1 year</v>
      </c>
      <c r="B20" s="54"/>
      <c r="C20" s="50" t="s">
        <v>10</v>
      </c>
      <c r="D20" s="3" t="s">
        <v>26</v>
      </c>
      <c r="E20" s="63">
        <v>-25</v>
      </c>
    </row>
    <row r="21" spans="1:5">
      <c r="A21" t="str">
        <f t="shared" si="0"/>
        <v>Worst credit bureau delinquency record in the past 2 yearsOverdue 31–60 days more than 1 year ago</v>
      </c>
      <c r="B21" s="54"/>
      <c r="C21" s="50" t="s">
        <v>10</v>
      </c>
      <c r="D21" s="3" t="s">
        <v>33</v>
      </c>
      <c r="E21" s="63">
        <v>-50</v>
      </c>
    </row>
    <row r="22" spans="1:5">
      <c r="A22" t="str">
        <f t="shared" si="0"/>
        <v>Worst credit bureau delinquency record in the past 2 yearsOverdue 31–60 days within the past 1 year</v>
      </c>
      <c r="B22" s="54"/>
      <c r="C22" s="50" t="s">
        <v>10</v>
      </c>
      <c r="D22" s="3" t="s">
        <v>30</v>
      </c>
      <c r="E22" s="63">
        <v>-50</v>
      </c>
    </row>
    <row r="23" spans="1:5">
      <c r="A23" t="str">
        <f t="shared" si="0"/>
        <v>Worst credit bureau delinquency record in the past 2 yearsOverdue 61–90 days more than 1 year ago</v>
      </c>
      <c r="B23" s="54"/>
      <c r="C23" s="50" t="s">
        <v>10</v>
      </c>
      <c r="D23" s="3" t="s">
        <v>38</v>
      </c>
      <c r="E23" s="63">
        <v>-75</v>
      </c>
    </row>
    <row r="24" spans="1:5">
      <c r="A24" t="str">
        <f t="shared" si="0"/>
        <v>Worst credit bureau delinquency record in the past 2 yearsOverdue 61–90 days within the past 1 year</v>
      </c>
      <c r="B24" s="54"/>
      <c r="C24" s="50" t="s">
        <v>10</v>
      </c>
      <c r="D24" s="3" t="s">
        <v>32</v>
      </c>
      <c r="E24" s="63">
        <v>-75</v>
      </c>
    </row>
    <row r="25" spans="1:5">
      <c r="A25" t="str">
        <f t="shared" si="0"/>
        <v>Worst credit bureau delinquency record in the past 2 yearsOverdue more than 90 days more than 1 year ago</v>
      </c>
      <c r="B25" s="54"/>
      <c r="C25" s="50" t="s">
        <v>10</v>
      </c>
      <c r="D25" s="3" t="s">
        <v>35</v>
      </c>
      <c r="E25" s="63">
        <v>-100</v>
      </c>
    </row>
    <row r="26" spans="1:5">
      <c r="A26" t="str">
        <f t="shared" si="0"/>
        <v>Worst credit bureau delinquency record in the past 2 yearsOverdue more than 90 days within the past 1 year</v>
      </c>
      <c r="B26" s="54"/>
      <c r="C26" s="50" t="s">
        <v>10</v>
      </c>
      <c r="D26" s="3" t="s">
        <v>24</v>
      </c>
      <c r="E26" s="63">
        <v>-100</v>
      </c>
    </row>
    <row r="27" spans="1:5">
      <c r="A27" t="str">
        <f t="shared" si="0"/>
        <v>Worst credit bureau delinquency record in the past 2 yearsCredit bureau check not performed</v>
      </c>
      <c r="B27" s="54"/>
      <c r="C27" s="50" t="s">
        <v>10</v>
      </c>
      <c r="D27" s="3" t="s">
        <v>29</v>
      </c>
      <c r="E27" s="63">
        <v>-100</v>
      </c>
    </row>
    <row r="28" spans="1:5">
      <c r="A28" t="str">
        <f t="shared" si="0"/>
        <v>Worst credit bureau delinquency record in the past 2 yearsNot available</v>
      </c>
      <c r="B28" s="54"/>
      <c r="C28" s="50" t="s">
        <v>10</v>
      </c>
      <c r="D28" s="3" t="s">
        <v>67</v>
      </c>
      <c r="E28" s="63">
        <v>0</v>
      </c>
    </row>
    <row r="29" spans="1:5">
      <c r="A29" t="str">
        <f t="shared" si="0"/>
        <v>Net Fixed Asset&gt;250000000</v>
      </c>
      <c r="B29" s="55" t="s">
        <v>75</v>
      </c>
      <c r="C29" s="56" t="s">
        <v>11</v>
      </c>
      <c r="D29" s="57" t="s">
        <v>45</v>
      </c>
      <c r="E29" s="56">
        <v>100</v>
      </c>
    </row>
    <row r="30" spans="1:5">
      <c r="A30" t="str">
        <f t="shared" si="0"/>
        <v>Net Fixed Asset(150000000, 250000000)</v>
      </c>
      <c r="B30" s="55"/>
      <c r="C30" s="56" t="s">
        <v>11</v>
      </c>
      <c r="D30" s="57" t="s">
        <v>42</v>
      </c>
      <c r="E30" s="56">
        <v>75</v>
      </c>
    </row>
    <row r="31" spans="1:5">
      <c r="A31" t="str">
        <f t="shared" si="0"/>
        <v>Net Fixed Asset(100000000, 150000000)</v>
      </c>
      <c r="B31" s="55"/>
      <c r="C31" s="56" t="s">
        <v>11</v>
      </c>
      <c r="D31" s="57" t="s">
        <v>58</v>
      </c>
      <c r="E31" s="56">
        <v>50</v>
      </c>
    </row>
    <row r="32" spans="1:5">
      <c r="A32" t="str">
        <f t="shared" si="0"/>
        <v>Net Fixed Asset(50000000, 100000000)</v>
      </c>
      <c r="B32" s="55"/>
      <c r="C32" s="56" t="s">
        <v>11</v>
      </c>
      <c r="D32" s="57" t="s">
        <v>48</v>
      </c>
      <c r="E32" s="56">
        <v>25</v>
      </c>
    </row>
    <row r="33" spans="1:5">
      <c r="A33" t="str">
        <f t="shared" si="0"/>
        <v>Net Fixed Asset(0, 50000000)</v>
      </c>
      <c r="B33" s="55"/>
      <c r="C33" s="56" t="s">
        <v>11</v>
      </c>
      <c r="D33" s="57" t="s">
        <v>40</v>
      </c>
      <c r="E33" s="56">
        <v>0</v>
      </c>
    </row>
    <row r="34" spans="1:5">
      <c r="A34" t="str">
        <f t="shared" si="0"/>
        <v>Net Fixed AssetNot available</v>
      </c>
      <c r="B34" s="55"/>
      <c r="C34" s="56" t="s">
        <v>11</v>
      </c>
      <c r="D34" s="3" t="s">
        <v>67</v>
      </c>
      <c r="E34" s="58">
        <v>0</v>
      </c>
    </row>
    <row r="35" s="14" customFormat="1" spans="1:5">
      <c r="A35" t="str">
        <f t="shared" si="0"/>
        <v>Net Profit Margin (%)&gt;15</v>
      </c>
      <c r="B35" s="54" t="s">
        <v>76</v>
      </c>
      <c r="C35" s="58" t="s">
        <v>12</v>
      </c>
      <c r="D35" s="59" t="s">
        <v>60</v>
      </c>
      <c r="E35" s="63">
        <v>100</v>
      </c>
    </row>
    <row r="36" s="14" customFormat="1" spans="1:5">
      <c r="A36" t="str">
        <f t="shared" ref="A36:A67" si="1">CONCATENATE(C36,D36)</f>
        <v>Net Profit Margin (%)(7.5, 15)</v>
      </c>
      <c r="B36" s="54"/>
      <c r="C36" s="58" t="s">
        <v>12</v>
      </c>
      <c r="D36" s="59" t="s">
        <v>50</v>
      </c>
      <c r="E36" s="63">
        <v>75</v>
      </c>
    </row>
    <row r="37" s="14" customFormat="1" spans="1:5">
      <c r="A37" t="str">
        <f t="shared" si="1"/>
        <v>Net Profit Margin (%)(2.5, 7.5)</v>
      </c>
      <c r="B37" s="54"/>
      <c r="C37" s="58" t="s">
        <v>12</v>
      </c>
      <c r="D37" s="59" t="s">
        <v>61</v>
      </c>
      <c r="E37" s="63">
        <v>50</v>
      </c>
    </row>
    <row r="38" s="14" customFormat="1" spans="1:5">
      <c r="A38" t="str">
        <f t="shared" si="1"/>
        <v>Net Profit Margin (%)(0, 2.5)</v>
      </c>
      <c r="B38" s="54"/>
      <c r="C38" s="58" t="s">
        <v>12</v>
      </c>
      <c r="D38" s="59" t="s">
        <v>55</v>
      </c>
      <c r="E38" s="63">
        <v>25</v>
      </c>
    </row>
    <row r="39" s="14" customFormat="1" spans="1:5">
      <c r="A39" t="str">
        <f t="shared" si="1"/>
        <v>Net Profit Margin (%)&lt;=0</v>
      </c>
      <c r="B39" s="54"/>
      <c r="C39" s="58" t="s">
        <v>12</v>
      </c>
      <c r="D39" s="59" t="s">
        <v>41</v>
      </c>
      <c r="E39" s="63">
        <v>-50</v>
      </c>
    </row>
    <row r="40" s="14" customFormat="1" spans="1:5">
      <c r="A40" t="str">
        <f t="shared" si="1"/>
        <v>Net Profit Margin (%)Denominator equal to 0 (99999999)</v>
      </c>
      <c r="B40" s="54"/>
      <c r="C40" s="58" t="s">
        <v>12</v>
      </c>
      <c r="D40" s="59" t="s">
        <v>77</v>
      </c>
      <c r="E40" s="63">
        <v>0</v>
      </c>
    </row>
    <row r="41" s="14" customFormat="1" spans="1:5">
      <c r="A41" t="str">
        <f t="shared" si="1"/>
        <v>Net Profit Margin (%)Not available</v>
      </c>
      <c r="B41" s="54"/>
      <c r="C41" s="58" t="s">
        <v>12</v>
      </c>
      <c r="D41" s="3" t="s">
        <v>67</v>
      </c>
      <c r="E41" s="63">
        <v>0</v>
      </c>
    </row>
    <row r="42" spans="1:5">
      <c r="A42" t="str">
        <f t="shared" si="1"/>
        <v>Sale Growth (%)&gt;30</v>
      </c>
      <c r="B42" s="55" t="s">
        <v>78</v>
      </c>
      <c r="C42" s="56" t="s">
        <v>13</v>
      </c>
      <c r="D42" s="57" t="s">
        <v>49</v>
      </c>
      <c r="E42" s="56">
        <v>100</v>
      </c>
    </row>
    <row r="43" spans="1:5">
      <c r="A43" t="str">
        <f t="shared" si="1"/>
        <v>Sale Growth (%)(15, 30)</v>
      </c>
      <c r="B43" s="55"/>
      <c r="C43" s="56" t="s">
        <v>13</v>
      </c>
      <c r="D43" s="60" t="s">
        <v>64</v>
      </c>
      <c r="E43" s="53">
        <v>75</v>
      </c>
    </row>
    <row r="44" spans="1:5">
      <c r="A44" t="str">
        <f t="shared" si="1"/>
        <v>Sale Growth (%)(5, 15)</v>
      </c>
      <c r="B44" s="55"/>
      <c r="C44" s="56" t="s">
        <v>13</v>
      </c>
      <c r="D44" s="60" t="s">
        <v>65</v>
      </c>
      <c r="E44" s="53">
        <v>50</v>
      </c>
    </row>
    <row r="45" spans="1:5">
      <c r="A45" t="str">
        <f t="shared" si="1"/>
        <v>Sale Growth (%)(0, 5)</v>
      </c>
      <c r="B45" s="55"/>
      <c r="C45" s="56" t="s">
        <v>13</v>
      </c>
      <c r="D45" s="60" t="s">
        <v>56</v>
      </c>
      <c r="E45" s="53">
        <v>25</v>
      </c>
    </row>
    <row r="46" spans="1:5">
      <c r="A46" t="str">
        <f t="shared" si="1"/>
        <v>Sale Growth (%)&lt;=0</v>
      </c>
      <c r="B46" s="55"/>
      <c r="C46" s="56" t="s">
        <v>13</v>
      </c>
      <c r="D46" s="60" t="s">
        <v>41</v>
      </c>
      <c r="E46" s="53">
        <v>0</v>
      </c>
    </row>
    <row r="47" s="14" customFormat="1" spans="1:5">
      <c r="A47" t="str">
        <f t="shared" si="1"/>
        <v>Sale Growth (%)Denominator equal to 0 (99999999)</v>
      </c>
      <c r="B47" s="55"/>
      <c r="C47" s="56" t="s">
        <v>13</v>
      </c>
      <c r="D47" s="60" t="s">
        <v>77</v>
      </c>
      <c r="E47" s="53">
        <v>0</v>
      </c>
    </row>
    <row r="48" spans="1:5">
      <c r="A48" t="str">
        <f t="shared" si="1"/>
        <v>Sale Growth (%)Not available</v>
      </c>
      <c r="B48" s="55"/>
      <c r="C48" s="56" t="s">
        <v>13</v>
      </c>
      <c r="D48" s="53" t="s">
        <v>67</v>
      </c>
      <c r="E48" s="53">
        <v>0</v>
      </c>
    </row>
    <row r="49" s="4" customFormat="1" spans="1:5">
      <c r="A49" t="str">
        <f t="shared" si="1"/>
        <v>Debt-to-Equity Ratio(0, 0.5)</v>
      </c>
      <c r="B49" s="61" t="s">
        <v>79</v>
      </c>
      <c r="C49" s="58" t="s">
        <v>14</v>
      </c>
      <c r="D49" s="62" t="s">
        <v>46</v>
      </c>
      <c r="E49" s="58">
        <v>100</v>
      </c>
    </row>
    <row r="50" s="4" customFormat="1" spans="1:5">
      <c r="A50" t="str">
        <f t="shared" si="1"/>
        <v>Debt-to-Equity Ratio(0.5, 1)</v>
      </c>
      <c r="B50" s="61"/>
      <c r="C50" s="58" t="s">
        <v>14</v>
      </c>
      <c r="D50" s="62" t="s">
        <v>43</v>
      </c>
      <c r="E50" s="58">
        <v>80</v>
      </c>
    </row>
    <row r="51" s="4" customFormat="1" spans="1:5">
      <c r="A51" t="str">
        <f t="shared" si="1"/>
        <v>Debt-to-Equity Ratio(1, 1.5)</v>
      </c>
      <c r="B51" s="61"/>
      <c r="C51" s="58" t="s">
        <v>14</v>
      </c>
      <c r="D51" s="62" t="s">
        <v>51</v>
      </c>
      <c r="E51" s="58">
        <v>60</v>
      </c>
    </row>
    <row r="52" s="4" customFormat="1" spans="1:5">
      <c r="A52" t="str">
        <f t="shared" si="1"/>
        <v>Debt-to-Equity Ratio(1.5, 3)</v>
      </c>
      <c r="B52" s="61"/>
      <c r="C52" s="58" t="s">
        <v>14</v>
      </c>
      <c r="D52" s="62" t="s">
        <v>57</v>
      </c>
      <c r="E52" s="58">
        <v>40</v>
      </c>
    </row>
    <row r="53" s="4" customFormat="1" spans="1:5">
      <c r="A53" t="str">
        <f t="shared" si="1"/>
        <v>Debt-to-Equity Ratio(3, 5)</v>
      </c>
      <c r="B53" s="61"/>
      <c r="C53" s="58" t="s">
        <v>14</v>
      </c>
      <c r="D53" s="62" t="s">
        <v>66</v>
      </c>
      <c r="E53" s="58">
        <v>20</v>
      </c>
    </row>
    <row r="54" s="4" customFormat="1" spans="1:5">
      <c r="A54" t="str">
        <f t="shared" si="1"/>
        <v>Debt-to-Equity Ratio&gt;5</v>
      </c>
      <c r="B54" s="61"/>
      <c r="C54" s="58" t="s">
        <v>14</v>
      </c>
      <c r="D54" s="62" t="s">
        <v>63</v>
      </c>
      <c r="E54" s="58">
        <v>0</v>
      </c>
    </row>
    <row r="55" s="4" customFormat="1" spans="1:5">
      <c r="A55" t="str">
        <f t="shared" si="1"/>
        <v>Debt-to-Equity Ratio&lt;=0</v>
      </c>
      <c r="B55" s="61"/>
      <c r="C55" s="58" t="s">
        <v>14</v>
      </c>
      <c r="D55" s="62" t="s">
        <v>41</v>
      </c>
      <c r="E55" s="58">
        <v>0</v>
      </c>
    </row>
    <row r="56" s="4" customFormat="1" spans="1:5">
      <c r="A56" t="str">
        <f t="shared" si="1"/>
        <v>Debt-to-Equity RatioNegative Equity (99999998)</v>
      </c>
      <c r="B56" s="61"/>
      <c r="C56" s="58" t="s">
        <v>14</v>
      </c>
      <c r="D56" s="62" t="s">
        <v>80</v>
      </c>
      <c r="E56" s="58">
        <v>0</v>
      </c>
    </row>
    <row r="57" s="4" customFormat="1" spans="1:5">
      <c r="A57" t="str">
        <f t="shared" si="1"/>
        <v>Debt-to-Equity RatioDenominator equal to 0 (99999999)</v>
      </c>
      <c r="B57" s="61"/>
      <c r="C57" s="58" t="s">
        <v>14</v>
      </c>
      <c r="D57" s="62" t="s">
        <v>77</v>
      </c>
      <c r="E57" s="58">
        <v>0</v>
      </c>
    </row>
    <row r="58" s="4" customFormat="1" spans="1:5">
      <c r="A58" t="str">
        <f t="shared" si="1"/>
        <v>Debt-to-Equity RatioNot available</v>
      </c>
      <c r="B58" s="61"/>
      <c r="C58" s="58" t="s">
        <v>14</v>
      </c>
      <c r="D58" s="58" t="s">
        <v>67</v>
      </c>
      <c r="E58" s="58">
        <v>0</v>
      </c>
    </row>
    <row r="59" spans="1:5">
      <c r="A59" t="str">
        <f t="shared" si="1"/>
        <v>Debt Service Coverage Area&gt;2</v>
      </c>
      <c r="B59" s="55" t="s">
        <v>81</v>
      </c>
      <c r="C59" s="56" t="s">
        <v>15</v>
      </c>
      <c r="D59" s="60" t="s">
        <v>59</v>
      </c>
      <c r="E59" s="53">
        <v>100</v>
      </c>
    </row>
    <row r="60" spans="1:5">
      <c r="A60" t="str">
        <f t="shared" si="1"/>
        <v>Debt Service Coverage Area(1.2, 2)</v>
      </c>
      <c r="B60" s="55"/>
      <c r="C60" s="56" t="s">
        <v>15</v>
      </c>
      <c r="D60" s="60" t="s">
        <v>53</v>
      </c>
      <c r="E60" s="53">
        <v>90</v>
      </c>
    </row>
    <row r="61" spans="1:5">
      <c r="A61" t="str">
        <f t="shared" si="1"/>
        <v>Debt Service Coverage Area(1, 1.2)</v>
      </c>
      <c r="B61" s="55"/>
      <c r="C61" s="56" t="s">
        <v>15</v>
      </c>
      <c r="D61" s="57" t="s">
        <v>62</v>
      </c>
      <c r="E61" s="56">
        <v>70</v>
      </c>
    </row>
    <row r="62" spans="1:5">
      <c r="A62" t="str">
        <f t="shared" si="1"/>
        <v>Debt Service Coverage Area(0.75, 1)</v>
      </c>
      <c r="B62" s="55"/>
      <c r="C62" s="56" t="s">
        <v>15</v>
      </c>
      <c r="D62" s="57" t="s">
        <v>52</v>
      </c>
      <c r="E62" s="56">
        <v>50</v>
      </c>
    </row>
    <row r="63" spans="1:5">
      <c r="A63" t="str">
        <f t="shared" si="1"/>
        <v>Debt Service Coverage Area(0.5, 0.75)</v>
      </c>
      <c r="B63" s="55"/>
      <c r="C63" s="56" t="s">
        <v>15</v>
      </c>
      <c r="D63" s="57" t="s">
        <v>47</v>
      </c>
      <c r="E63" s="56">
        <v>30</v>
      </c>
    </row>
    <row r="64" spans="1:5">
      <c r="A64" t="str">
        <f t="shared" si="1"/>
        <v>Debt Service Coverage Area(0.25, 0.5)</v>
      </c>
      <c r="B64" s="55"/>
      <c r="C64" s="56" t="s">
        <v>15</v>
      </c>
      <c r="D64" s="57" t="s">
        <v>54</v>
      </c>
      <c r="E64" s="56">
        <v>10</v>
      </c>
    </row>
    <row r="65" spans="1:5">
      <c r="A65" t="str">
        <f t="shared" si="1"/>
        <v>Debt Service Coverage Area(0, 0.25)</v>
      </c>
      <c r="B65" s="55"/>
      <c r="C65" s="56" t="s">
        <v>15</v>
      </c>
      <c r="D65" s="57" t="s">
        <v>44</v>
      </c>
      <c r="E65" s="56">
        <v>0</v>
      </c>
    </row>
    <row r="66" spans="1:5">
      <c r="A66" t="str">
        <f t="shared" si="1"/>
        <v>Debt Service Coverage Area&lt;=0</v>
      </c>
      <c r="B66" s="55"/>
      <c r="C66" s="56" t="s">
        <v>15</v>
      </c>
      <c r="D66" s="57" t="s">
        <v>41</v>
      </c>
      <c r="E66" s="56">
        <v>0</v>
      </c>
    </row>
    <row r="67" spans="1:5">
      <c r="A67" t="str">
        <f t="shared" si="1"/>
        <v>Debt Service Coverage AreaNot available</v>
      </c>
      <c r="B67" s="55"/>
      <c r="C67" s="56" t="s">
        <v>15</v>
      </c>
      <c r="D67" s="3" t="s">
        <v>67</v>
      </c>
      <c r="E67" s="56">
        <v>0</v>
      </c>
    </row>
  </sheetData>
  <mergeCells count="8">
    <mergeCell ref="B3:B10"/>
    <mergeCell ref="B11:B15"/>
    <mergeCell ref="B16:B28"/>
    <mergeCell ref="B29:B34"/>
    <mergeCell ref="B35:B41"/>
    <mergeCell ref="B42:B48"/>
    <mergeCell ref="B49:B58"/>
    <mergeCell ref="B59:B6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52"/>
  <sheetViews>
    <sheetView showGridLines="0" zoomScale="108" zoomScaleNormal="108" topLeftCell="A33" workbookViewId="0">
      <selection activeCell="D291" sqref="D291"/>
    </sheetView>
  </sheetViews>
  <sheetFormatPr defaultColWidth="9" defaultRowHeight="16.8"/>
  <cols>
    <col min="1" max="1" width="4.1796875" customWidth="1"/>
    <col min="2" max="2" width="3.2734375" style="15" customWidth="1"/>
    <col min="3" max="3" width="58.7265625" customWidth="1"/>
    <col min="4" max="4" width="8.8203125" customWidth="1"/>
    <col min="5" max="5" width="8.09375" customWidth="1"/>
    <col min="9" max="9" width="12.546875" customWidth="1"/>
  </cols>
  <sheetData>
    <row r="1" s="13" customFormat="1" spans="2:6">
      <c r="B1" s="16"/>
      <c r="C1" s="17"/>
      <c r="D1" s="17"/>
      <c r="E1" s="17"/>
      <c r="F1" s="17"/>
    </row>
    <row r="3" spans="2:2">
      <c r="B3" s="1" t="s">
        <v>82</v>
      </c>
    </row>
    <row r="4" spans="2:3">
      <c r="B4" s="18"/>
      <c r="C4" s="19"/>
    </row>
    <row r="6" spans="2:2">
      <c r="B6" s="15" t="s">
        <v>83</v>
      </c>
    </row>
    <row r="7" ht="8.5" customHeight="1"/>
    <row r="8" ht="14" customHeight="1" spans="2:2">
      <c r="B8" s="20" t="s">
        <v>84</v>
      </c>
    </row>
    <row r="9" s="14" customFormat="1" spans="2:2">
      <c r="B9" s="21" t="s">
        <v>85</v>
      </c>
    </row>
    <row r="10" s="14" customFormat="1" ht="6" customHeight="1" spans="2:2">
      <c r="B10" s="21"/>
    </row>
    <row r="11" s="14" customFormat="1" spans="2:5">
      <c r="B11" s="22" t="s">
        <v>86</v>
      </c>
      <c r="C11" s="23"/>
      <c r="D11" s="24" t="s">
        <v>87</v>
      </c>
      <c r="E11" s="24"/>
    </row>
    <row r="12" s="14" customFormat="1" spans="2:5">
      <c r="B12" s="25" t="s">
        <v>88</v>
      </c>
      <c r="C12" s="26"/>
      <c r="D12" s="27">
        <v>0.5</v>
      </c>
      <c r="E12" s="42"/>
    </row>
    <row r="13" s="14" customFormat="1" spans="2:5">
      <c r="B13" s="28"/>
      <c r="C13" s="29" t="s">
        <v>89</v>
      </c>
      <c r="D13" s="30"/>
      <c r="E13" s="43">
        <v>0.25</v>
      </c>
    </row>
    <row r="14" s="14" customFormat="1" spans="2:5">
      <c r="B14" s="28"/>
      <c r="C14" s="29" t="s">
        <v>90</v>
      </c>
      <c r="D14" s="30"/>
      <c r="E14" s="43">
        <v>0.25</v>
      </c>
    </row>
    <row r="15" s="14" customFormat="1" spans="2:5">
      <c r="B15" s="28"/>
      <c r="C15" s="29" t="s">
        <v>91</v>
      </c>
      <c r="D15" s="30"/>
      <c r="E15" s="43">
        <v>0.5</v>
      </c>
    </row>
    <row r="16" s="14" customFormat="1" spans="2:5">
      <c r="B16" s="25" t="s">
        <v>92</v>
      </c>
      <c r="C16" s="26"/>
      <c r="D16" s="27">
        <v>0.5</v>
      </c>
      <c r="E16" s="42"/>
    </row>
    <row r="17" s="14" customFormat="1" spans="2:5">
      <c r="B17" s="28"/>
      <c r="C17" s="31" t="s">
        <v>93</v>
      </c>
      <c r="D17" s="30"/>
      <c r="E17" s="43">
        <v>0.2</v>
      </c>
    </row>
    <row r="18" s="14" customFormat="1" spans="2:5">
      <c r="B18" s="28"/>
      <c r="C18" s="31" t="s">
        <v>94</v>
      </c>
      <c r="D18" s="30"/>
      <c r="E18" s="43">
        <v>0.2</v>
      </c>
    </row>
    <row r="19" s="14" customFormat="1" spans="2:5">
      <c r="B19" s="28"/>
      <c r="C19" s="31" t="s">
        <v>95</v>
      </c>
      <c r="D19" s="30"/>
      <c r="E19" s="43">
        <v>0.2</v>
      </c>
    </row>
    <row r="20" s="14" customFormat="1" spans="2:5">
      <c r="B20" s="28"/>
      <c r="C20" s="31" t="s">
        <v>96</v>
      </c>
      <c r="D20" s="30"/>
      <c r="E20" s="43">
        <v>0.2</v>
      </c>
    </row>
    <row r="21" s="14" customFormat="1" spans="2:5">
      <c r="B21" s="28"/>
      <c r="C21" s="31" t="s">
        <v>97</v>
      </c>
      <c r="D21" s="30"/>
      <c r="E21" s="43">
        <v>0.2</v>
      </c>
    </row>
    <row r="22" s="14" customFormat="1" spans="2:5">
      <c r="B22" s="32" t="s">
        <v>98</v>
      </c>
      <c r="C22" s="33"/>
      <c r="D22" s="34"/>
      <c r="E22" s="44"/>
    </row>
    <row r="23" ht="11" customHeight="1" spans="2:3">
      <c r="B23" s="35"/>
      <c r="C23" s="15"/>
    </row>
    <row r="24" spans="2:11">
      <c r="B24" s="36" t="s">
        <v>99</v>
      </c>
      <c r="C24" s="37"/>
      <c r="D24" s="37"/>
      <c r="E24" s="37"/>
      <c r="F24" s="37"/>
      <c r="G24" s="37"/>
      <c r="H24" s="37"/>
      <c r="I24" s="37"/>
      <c r="J24" s="37"/>
      <c r="K24" s="37"/>
    </row>
    <row r="25" s="14" customFormat="1" spans="2:2">
      <c r="B25" s="38"/>
    </row>
    <row r="26" ht="47.5" customHeight="1" spans="2:11">
      <c r="B26" s="39" t="s">
        <v>100</v>
      </c>
      <c r="C26" s="39"/>
      <c r="D26" s="39"/>
      <c r="E26" s="39"/>
      <c r="F26" s="39"/>
      <c r="G26" s="39"/>
      <c r="H26" s="39"/>
      <c r="I26" s="39"/>
      <c r="J26" s="39"/>
      <c r="K26" s="45"/>
    </row>
    <row r="27" ht="28" customHeight="1" spans="2:2">
      <c r="B27" s="38" t="s">
        <v>101</v>
      </c>
    </row>
    <row r="28" ht="82" customHeight="1" spans="2:9">
      <c r="B28" s="40"/>
      <c r="C28" s="41"/>
      <c r="D28" s="41"/>
      <c r="E28" s="41"/>
      <c r="F28" s="41"/>
      <c r="G28" s="41"/>
      <c r="H28" s="41"/>
      <c r="I28" s="46"/>
    </row>
    <row r="31" ht="17.5" customHeight="1" spans="2:10">
      <c r="B31" s="39" t="s">
        <v>102</v>
      </c>
      <c r="C31" s="39"/>
      <c r="D31" s="39"/>
      <c r="E31" s="39"/>
      <c r="F31" s="39"/>
      <c r="G31" s="39"/>
      <c r="H31" s="39"/>
      <c r="I31" s="39"/>
      <c r="J31" s="39"/>
    </row>
    <row r="32" ht="17.5" customHeight="1" spans="2:10">
      <c r="B32" s="38" t="s">
        <v>101</v>
      </c>
      <c r="C32" s="39"/>
      <c r="D32" s="39"/>
      <c r="E32" s="39"/>
      <c r="F32" s="39"/>
      <c r="G32" s="39"/>
      <c r="H32" s="39"/>
      <c r="I32" s="39"/>
      <c r="J32" s="39"/>
    </row>
    <row r="33" ht="82" customHeight="1" spans="2:9">
      <c r="B33" s="40"/>
      <c r="C33" s="41"/>
      <c r="D33" s="41"/>
      <c r="E33" s="41"/>
      <c r="F33" s="41"/>
      <c r="G33" s="41"/>
      <c r="H33" s="41"/>
      <c r="I33" s="46"/>
    </row>
    <row r="36" ht="32.5" customHeight="1" spans="2:10">
      <c r="B36" s="39" t="s">
        <v>103</v>
      </c>
      <c r="C36" s="39"/>
      <c r="D36" s="39"/>
      <c r="E36" s="39"/>
      <c r="F36" s="39"/>
      <c r="G36" s="39"/>
      <c r="H36" s="39"/>
      <c r="I36" s="39"/>
      <c r="J36" s="39"/>
    </row>
    <row r="37" spans="2:10">
      <c r="B37" s="38" t="s">
        <v>101</v>
      </c>
      <c r="C37" s="39"/>
      <c r="D37" s="39"/>
      <c r="E37" s="39"/>
      <c r="F37" s="39"/>
      <c r="G37" s="39"/>
      <c r="H37" s="39"/>
      <c r="I37" s="39"/>
      <c r="J37" s="39"/>
    </row>
    <row r="38" ht="82.5" customHeight="1" spans="2:9">
      <c r="B38" s="40"/>
      <c r="C38" s="41"/>
      <c r="D38" s="41"/>
      <c r="E38" s="41"/>
      <c r="F38" s="41"/>
      <c r="G38" s="41"/>
      <c r="H38" s="41"/>
      <c r="I38" s="46"/>
    </row>
    <row r="41" ht="28.5" customHeight="1" spans="2:10">
      <c r="B41" s="39" t="s">
        <v>104</v>
      </c>
      <c r="C41" s="39"/>
      <c r="D41" s="39"/>
      <c r="E41" s="39"/>
      <c r="F41" s="39"/>
      <c r="G41" s="39"/>
      <c r="H41" s="39"/>
      <c r="I41" s="39"/>
      <c r="J41" s="39"/>
    </row>
    <row r="42" spans="2:10">
      <c r="B42" s="38" t="s">
        <v>101</v>
      </c>
      <c r="C42" s="39"/>
      <c r="D42" s="39"/>
      <c r="E42" s="39"/>
      <c r="F42" s="39"/>
      <c r="G42" s="39"/>
      <c r="H42" s="39"/>
      <c r="I42" s="39"/>
      <c r="J42" s="39"/>
    </row>
    <row r="43" ht="82" customHeight="1" spans="2:9">
      <c r="B43" s="40"/>
      <c r="C43" s="41"/>
      <c r="D43" s="41"/>
      <c r="E43" s="41"/>
      <c r="F43" s="41"/>
      <c r="G43" s="41"/>
      <c r="H43" s="41"/>
      <c r="I43" s="46"/>
    </row>
    <row r="46" ht="31.5" customHeight="1" spans="2:10">
      <c r="B46" s="39" t="s">
        <v>105</v>
      </c>
      <c r="C46" s="39"/>
      <c r="D46" s="39"/>
      <c r="E46" s="39"/>
      <c r="F46" s="39"/>
      <c r="G46" s="39"/>
      <c r="H46" s="39"/>
      <c r="I46" s="39"/>
      <c r="J46" s="39"/>
    </row>
    <row r="47" spans="2:10">
      <c r="B47" s="38" t="s">
        <v>101</v>
      </c>
      <c r="C47" s="39"/>
      <c r="D47" s="39"/>
      <c r="E47" s="39"/>
      <c r="F47" s="39"/>
      <c r="G47" s="39"/>
      <c r="H47" s="39"/>
      <c r="I47" s="39"/>
      <c r="J47" s="39"/>
    </row>
    <row r="48" ht="82" customHeight="1" spans="2:9">
      <c r="B48" s="40"/>
      <c r="C48" s="41"/>
      <c r="D48" s="41"/>
      <c r="E48" s="41"/>
      <c r="F48" s="41"/>
      <c r="G48" s="41"/>
      <c r="H48" s="41"/>
      <c r="I48" s="46"/>
    </row>
    <row r="51" spans="2:2">
      <c r="B51" s="1" t="s">
        <v>106</v>
      </c>
    </row>
    <row r="52" spans="2:2">
      <c r="B52" t="s">
        <v>107</v>
      </c>
    </row>
  </sheetData>
  <mergeCells count="13">
    <mergeCell ref="B4:C4"/>
    <mergeCell ref="B11:C11"/>
    <mergeCell ref="D11:E11"/>
    <mergeCell ref="B26:J26"/>
    <mergeCell ref="B28:I28"/>
    <mergeCell ref="B31:J31"/>
    <mergeCell ref="B33:I33"/>
    <mergeCell ref="B36:J36"/>
    <mergeCell ref="B38:I38"/>
    <mergeCell ref="B41:J41"/>
    <mergeCell ref="B43:I43"/>
    <mergeCell ref="B46:J46"/>
    <mergeCell ref="B48:I48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91"/>
  <sheetViews>
    <sheetView tabSelected="1" workbookViewId="0">
      <selection activeCell="E20" sqref="E20"/>
    </sheetView>
  </sheetViews>
  <sheetFormatPr defaultColWidth="9" defaultRowHeight="16.8"/>
  <cols>
    <col min="1" max="1" width="2.734375" style="4" customWidth="1"/>
    <col min="2" max="2" width="9" style="4"/>
    <col min="3" max="3" width="12" style="4" customWidth="1"/>
    <col min="4" max="4" width="58.375" style="4"/>
    <col min="5" max="8" width="35.875" style="4"/>
    <col min="9" max="9" width="12.6875" style="4"/>
    <col min="10" max="10" width="13.8125" style="4"/>
    <col min="11" max="11" width="12.6875" style="4"/>
    <col min="12" max="16384" width="9" style="4"/>
  </cols>
  <sheetData>
    <row r="2" spans="2:2">
      <c r="B2" s="5" t="s">
        <v>108</v>
      </c>
    </row>
    <row r="3" spans="3:4">
      <c r="C3" s="5" t="s">
        <v>109</v>
      </c>
      <c r="D3" s="4" t="s">
        <v>110</v>
      </c>
    </row>
    <row r="4" spans="4:4">
      <c r="D4" s="4" t="s">
        <v>111</v>
      </c>
    </row>
    <row r="5" spans="4:4">
      <c r="D5" s="4" t="s">
        <v>112</v>
      </c>
    </row>
    <row r="6" spans="4:4">
      <c r="D6" s="4" t="s">
        <v>113</v>
      </c>
    </row>
    <row r="7" spans="4:4">
      <c r="D7" s="4" t="s">
        <v>114</v>
      </c>
    </row>
    <row r="10" spans="4:4">
      <c r="D10" s="4" t="s">
        <v>115</v>
      </c>
    </row>
    <row r="14" spans="4:4">
      <c r="D14" s="4" t="s">
        <v>116</v>
      </c>
    </row>
    <row r="15" spans="4:7">
      <c r="D15" s="6" t="s">
        <v>117</v>
      </c>
      <c r="E15" s="6" t="s">
        <v>118</v>
      </c>
      <c r="G15" s="5"/>
    </row>
    <row r="16" spans="4:5">
      <c r="D16" s="7" t="s">
        <v>119</v>
      </c>
      <c r="E16" s="7" t="s">
        <v>120</v>
      </c>
    </row>
    <row r="17" spans="4:5">
      <c r="D17" s="7" t="s">
        <v>121</v>
      </c>
      <c r="E17" s="7" t="s">
        <v>122</v>
      </c>
    </row>
    <row r="18" spans="4:5">
      <c r="D18" s="7" t="s">
        <v>123</v>
      </c>
      <c r="E18" s="7" t="s">
        <v>124</v>
      </c>
    </row>
    <row r="19" spans="4:5">
      <c r="D19" s="7" t="s">
        <v>125</v>
      </c>
      <c r="E19" s="7" t="s">
        <v>126</v>
      </c>
    </row>
    <row r="20" spans="4:5">
      <c r="D20" s="7" t="s">
        <v>127</v>
      </c>
      <c r="E20" s="7" t="s">
        <v>128</v>
      </c>
    </row>
    <row r="22" spans="3:4">
      <c r="C22" s="5" t="s">
        <v>129</v>
      </c>
      <c r="D22" s="4" t="s">
        <v>130</v>
      </c>
    </row>
    <row r="24" spans="4:11">
      <c r="D24" s="6" t="s">
        <v>17</v>
      </c>
      <c r="E24" s="6" t="s">
        <v>131</v>
      </c>
      <c r="F24" s="6" t="s">
        <v>132</v>
      </c>
      <c r="G24" s="6" t="s">
        <v>133</v>
      </c>
      <c r="H24" s="6" t="s">
        <v>134</v>
      </c>
      <c r="I24" s="6" t="s">
        <v>135</v>
      </c>
      <c r="J24" s="6" t="s">
        <v>136</v>
      </c>
      <c r="K24" s="6" t="s">
        <v>117</v>
      </c>
    </row>
    <row r="25" spans="4:11">
      <c r="D25" s="7" t="s">
        <v>17</v>
      </c>
      <c r="E25" s="7">
        <f>COUNTIF(Data_Bin!$B:$B,D25)</f>
        <v>233</v>
      </c>
      <c r="F25" s="7">
        <f>SUMIFS(Data_Bin!J:J,Data_Bin!B:B,D25)</f>
        <v>12</v>
      </c>
      <c r="G25" s="7">
        <f>F25/SUM($F$25:$F$31)</f>
        <v>0.24</v>
      </c>
      <c r="H25" s="7">
        <f t="shared" ref="H25:H31" si="0">E25-F25</f>
        <v>221</v>
      </c>
      <c r="I25" s="7">
        <f>H25/SUM($H$25:$H$31)</f>
        <v>0.435897435897436</v>
      </c>
      <c r="J25" s="7">
        <f>LN((G25+0.0000000001)/(I25+0.0000000001))</f>
        <v>-0.59676805337946</v>
      </c>
      <c r="K25" s="7">
        <f>IFERROR(J25*(G25-I25),0)</f>
        <v>0.11690533148254</v>
      </c>
    </row>
    <row r="26" spans="4:11">
      <c r="D26" s="7" t="s">
        <v>20</v>
      </c>
      <c r="E26" s="7">
        <f>COUNTIF(Data_Bin!$B:$B,D26)</f>
        <v>16</v>
      </c>
      <c r="F26" s="7">
        <f>SUMIFS(Data_Bin!J:J,Data_Bin!B:B,D26)</f>
        <v>4</v>
      </c>
      <c r="G26" s="7">
        <f t="shared" ref="G26:G31" si="1">F26/SUM($F$25:$F$31)</f>
        <v>0.08</v>
      </c>
      <c r="H26" s="7">
        <f t="shared" si="0"/>
        <v>12</v>
      </c>
      <c r="I26" s="7">
        <f t="shared" ref="I26:I31" si="2">H26/SUM($H$25:$H$31)</f>
        <v>0.0236686390532544</v>
      </c>
      <c r="J26" s="7">
        <f t="shared" ref="J26:J31" si="3">LN((G26+0.0000000001)/(I26+0.0000000001))</f>
        <v>1.21787570651993</v>
      </c>
      <c r="K26" s="7">
        <f t="shared" ref="K26:K31" si="4">IFERROR(J26*(G26-I26),0)</f>
        <v>0.0686045960122468</v>
      </c>
    </row>
    <row r="27" spans="4:11">
      <c r="D27" s="7" t="s">
        <v>22</v>
      </c>
      <c r="E27" s="7">
        <f>COUNTIF(Data_Bin!$B:$B,D27)</f>
        <v>18</v>
      </c>
      <c r="F27" s="7">
        <f>SUMIFS(Data_Bin!J:J,Data_Bin!B:B,D27)</f>
        <v>8</v>
      </c>
      <c r="G27" s="7">
        <f t="shared" si="1"/>
        <v>0.16</v>
      </c>
      <c r="H27" s="7">
        <f t="shared" si="0"/>
        <v>10</v>
      </c>
      <c r="I27" s="7">
        <f t="shared" si="2"/>
        <v>0.019723865877712</v>
      </c>
      <c r="J27" s="7">
        <f t="shared" si="3"/>
        <v>2.09334444240383</v>
      </c>
      <c r="K27" s="7">
        <f t="shared" si="4"/>
        <v>0.293646265766785</v>
      </c>
    </row>
    <row r="28" spans="4:11">
      <c r="D28" s="7" t="s">
        <v>31</v>
      </c>
      <c r="E28" s="7">
        <f>COUNTIF(Data_Bin!$B:$B,D28)</f>
        <v>8</v>
      </c>
      <c r="F28" s="7">
        <f>SUMIFS(Data_Bin!J:J,Data_Bin!B:B,D28)</f>
        <v>5</v>
      </c>
      <c r="G28" s="7">
        <f t="shared" si="1"/>
        <v>0.1</v>
      </c>
      <c r="H28" s="7">
        <f t="shared" si="0"/>
        <v>3</v>
      </c>
      <c r="I28" s="7">
        <f t="shared" si="2"/>
        <v>0.00591715976331361</v>
      </c>
      <c r="J28" s="7">
        <f t="shared" si="3"/>
        <v>2.82731360602903</v>
      </c>
      <c r="K28" s="7">
        <f t="shared" si="4"/>
        <v>0.266001694295039</v>
      </c>
    </row>
    <row r="29" spans="4:11">
      <c r="D29" s="7" t="s">
        <v>36</v>
      </c>
      <c r="E29" s="7">
        <f>COUNTIF(Data_Bin!$B:$B,D29)</f>
        <v>271</v>
      </c>
      <c r="F29" s="7">
        <f>SUMIFS(Data_Bin!J:J,Data_Bin!B:B,D29)</f>
        <v>21</v>
      </c>
      <c r="G29" s="7">
        <f t="shared" si="1"/>
        <v>0.42</v>
      </c>
      <c r="H29" s="7">
        <f t="shared" si="0"/>
        <v>250</v>
      </c>
      <c r="I29" s="7">
        <f t="shared" si="2"/>
        <v>0.493096646942801</v>
      </c>
      <c r="J29" s="7">
        <f t="shared" si="3"/>
        <v>-0.160450481940491</v>
      </c>
      <c r="K29" s="7">
        <f t="shared" si="4"/>
        <v>0.0117283922302063</v>
      </c>
    </row>
    <row r="30" spans="4:11">
      <c r="D30" s="7" t="s">
        <v>37</v>
      </c>
      <c r="E30" s="7">
        <f>COUNTIF(Data_Bin!$B:$B,D30)</f>
        <v>10</v>
      </c>
      <c r="F30" s="7">
        <f>SUMIFS(Data_Bin!J:J,Data_Bin!B:B,D30)</f>
        <v>0</v>
      </c>
      <c r="G30" s="7">
        <f t="shared" si="1"/>
        <v>0</v>
      </c>
      <c r="H30" s="7">
        <f t="shared" si="0"/>
        <v>10</v>
      </c>
      <c r="I30" s="7">
        <f t="shared" si="2"/>
        <v>0.019723865877712</v>
      </c>
      <c r="J30" s="7">
        <f t="shared" si="3"/>
        <v>-19.0999250244133</v>
      </c>
      <c r="K30" s="7">
        <f t="shared" si="4"/>
        <v>0.376724359455884</v>
      </c>
    </row>
    <row r="31" spans="4:11">
      <c r="D31" s="7" t="s">
        <v>29</v>
      </c>
      <c r="E31" s="7">
        <f>COUNTIF(Data_Bin!$B:$B,D31)</f>
        <v>1</v>
      </c>
      <c r="F31" s="7">
        <f>SUMIFS(Data_Bin!J:J,Data_Bin!B:B,D31)</f>
        <v>0</v>
      </c>
      <c r="G31" s="7">
        <f t="shared" si="1"/>
        <v>0</v>
      </c>
      <c r="H31" s="7">
        <f t="shared" si="0"/>
        <v>1</v>
      </c>
      <c r="I31" s="7">
        <f t="shared" si="2"/>
        <v>0.0019723865877712</v>
      </c>
      <c r="J31" s="7">
        <f t="shared" si="3"/>
        <v>-16.7973399770493</v>
      </c>
      <c r="K31" s="7">
        <f t="shared" si="4"/>
        <v>0.033130848080965</v>
      </c>
    </row>
    <row r="32" spans="4:11">
      <c r="D32" s="7" t="s">
        <v>137</v>
      </c>
      <c r="E32" s="10">
        <f>SUM(E25:E31)</f>
        <v>557</v>
      </c>
      <c r="F32" s="10">
        <f>SUM(F25:F31)</f>
        <v>50</v>
      </c>
      <c r="G32" s="10">
        <f>SUM(G25:G31)</f>
        <v>1</v>
      </c>
      <c r="H32" s="10">
        <f>SUM(H25:H31)</f>
        <v>507</v>
      </c>
      <c r="I32" s="10">
        <f>SUM(I25:I31)</f>
        <v>1</v>
      </c>
      <c r="J32" s="7"/>
      <c r="K32" s="11">
        <f>SUM(K25:K31)</f>
        <v>1.16674148732367</v>
      </c>
    </row>
    <row r="34" spans="4:4">
      <c r="D34" s="4" t="s">
        <v>138</v>
      </c>
    </row>
    <row r="53" ht="17" spans="3:4">
      <c r="C53" s="5" t="s">
        <v>139</v>
      </c>
      <c r="D53" s="8" t="s">
        <v>140</v>
      </c>
    </row>
    <row r="54" spans="4:4">
      <c r="D54" s="4" t="s">
        <v>141</v>
      </c>
    </row>
    <row r="55" spans="4:4">
      <c r="D55" s="4" t="s">
        <v>142</v>
      </c>
    </row>
    <row r="57" ht="17" spans="4:4">
      <c r="D57" s="9" t="s">
        <v>143</v>
      </c>
    </row>
    <row r="59" ht="17" spans="4:4">
      <c r="D59" s="8" t="s">
        <v>144</v>
      </c>
    </row>
    <row r="61" ht="17" spans="4:4">
      <c r="D61" s="8" t="s">
        <v>145</v>
      </c>
    </row>
    <row r="63" spans="2:2">
      <c r="B63" s="5" t="s">
        <v>146</v>
      </c>
    </row>
    <row r="64" spans="3:4">
      <c r="C64" s="4" t="s">
        <v>147</v>
      </c>
      <c r="D64" s="4" t="s">
        <v>148</v>
      </c>
    </row>
    <row r="65" spans="4:6">
      <c r="D65" t="s">
        <v>70</v>
      </c>
      <c r="E65" t="s">
        <v>9</v>
      </c>
      <c r="F65" s="8" t="s">
        <v>149</v>
      </c>
    </row>
    <row r="67" spans="4:8">
      <c r="D67" t="s">
        <v>150</v>
      </c>
      <c r="E67" t="s">
        <v>151</v>
      </c>
      <c r="F67" t="s">
        <v>152</v>
      </c>
      <c r="G67" t="s">
        <v>153</v>
      </c>
      <c r="H67" t="s">
        <v>154</v>
      </c>
    </row>
    <row r="68" spans="4:8">
      <c r="D68" t="s">
        <v>18</v>
      </c>
      <c r="E68">
        <v>9</v>
      </c>
      <c r="F68">
        <v>185</v>
      </c>
      <c r="G68">
        <v>4.86</v>
      </c>
      <c r="H68">
        <v>0</v>
      </c>
    </row>
    <row r="69" spans="4:8">
      <c r="D69" t="s">
        <v>67</v>
      </c>
      <c r="E69">
        <v>21</v>
      </c>
      <c r="F69">
        <v>282</v>
      </c>
      <c r="G69">
        <v>7.45</v>
      </c>
      <c r="H69">
        <v>0</v>
      </c>
    </row>
    <row r="70" spans="4:8">
      <c r="D70" t="s">
        <v>23</v>
      </c>
      <c r="E70">
        <v>12</v>
      </c>
      <c r="F70">
        <v>27</v>
      </c>
      <c r="G70">
        <v>44.44</v>
      </c>
      <c r="H70">
        <v>-100</v>
      </c>
    </row>
    <row r="71" spans="4:8">
      <c r="D71" t="s">
        <v>25</v>
      </c>
      <c r="E71">
        <v>4</v>
      </c>
      <c r="F71">
        <v>30</v>
      </c>
      <c r="G71">
        <v>13.33</v>
      </c>
      <c r="H71">
        <v>-100</v>
      </c>
    </row>
    <row r="72" spans="4:8">
      <c r="D72" t="s">
        <v>21</v>
      </c>
      <c r="E72">
        <v>4</v>
      </c>
      <c r="F72">
        <v>33</v>
      </c>
      <c r="G72">
        <v>12.12</v>
      </c>
      <c r="H72">
        <v>-50</v>
      </c>
    </row>
    <row r="73" spans="4:8">
      <c r="D73" t="s">
        <v>155</v>
      </c>
      <c r="E73">
        <v>50</v>
      </c>
      <c r="F73">
        <v>557</v>
      </c>
      <c r="G73">
        <v>82.2</v>
      </c>
      <c r="H73">
        <v>-250</v>
      </c>
    </row>
    <row r="74" spans="4:8">
      <c r="D74"/>
      <c r="E74"/>
      <c r="F74"/>
      <c r="G74"/>
      <c r="H74"/>
    </row>
    <row r="75" spans="4:8">
      <c r="D75"/>
      <c r="E75"/>
      <c r="F75"/>
      <c r="G75"/>
      <c r="H75"/>
    </row>
    <row r="76" spans="4:8">
      <c r="D76"/>
      <c r="E76"/>
      <c r="F76"/>
      <c r="G76"/>
      <c r="H76"/>
    </row>
    <row r="77" spans="4:8">
      <c r="D77"/>
      <c r="E77"/>
      <c r="F77"/>
      <c r="G77"/>
      <c r="H77"/>
    </row>
    <row r="78" spans="4:8">
      <c r="D78"/>
      <c r="E78"/>
      <c r="F78"/>
      <c r="G78"/>
      <c r="H78"/>
    </row>
    <row r="79" spans="4:8">
      <c r="D79"/>
      <c r="E79"/>
      <c r="F79"/>
      <c r="G79"/>
      <c r="H79"/>
    </row>
    <row r="80" spans="4:8">
      <c r="D80"/>
      <c r="E80"/>
      <c r="F80"/>
      <c r="G80"/>
      <c r="H80"/>
    </row>
    <row r="81" hidden="1" spans="4:8">
      <c r="D81"/>
      <c r="E81"/>
      <c r="F81"/>
      <c r="G81"/>
      <c r="H81"/>
    </row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3" spans="4:4">
      <c r="D93" s="8" t="s">
        <v>156</v>
      </c>
    </row>
    <row r="94" spans="4:4">
      <c r="D94" s="4" t="s">
        <v>157</v>
      </c>
    </row>
    <row r="95" spans="4:4">
      <c r="D95" s="4" t="s">
        <v>158</v>
      </c>
    </row>
    <row r="96" spans="4:4">
      <c r="D96" s="4" t="s">
        <v>159</v>
      </c>
    </row>
    <row r="97" spans="4:4">
      <c r="D97" s="4" t="s">
        <v>160</v>
      </c>
    </row>
    <row r="99" spans="4:4">
      <c r="D99" s="8" t="s">
        <v>161</v>
      </c>
    </row>
    <row r="100" spans="4:4">
      <c r="D100" s="4" t="s">
        <v>162</v>
      </c>
    </row>
    <row r="101" spans="4:4">
      <c r="D101" s="4" t="s">
        <v>163</v>
      </c>
    </row>
    <row r="103" spans="4:4">
      <c r="D103" s="8" t="s">
        <v>164</v>
      </c>
    </row>
    <row r="104" spans="4:4">
      <c r="D104" s="4" t="s">
        <v>165</v>
      </c>
    </row>
    <row r="105" spans="4:4">
      <c r="D105" s="4" t="s">
        <v>166</v>
      </c>
    </row>
    <row r="106" spans="4:4">
      <c r="D106" s="4" t="s">
        <v>167</v>
      </c>
    </row>
    <row r="108" spans="4:4">
      <c r="D108" s="8" t="s">
        <v>168</v>
      </c>
    </row>
    <row r="109" spans="4:4">
      <c r="D109" s="4" t="s">
        <v>169</v>
      </c>
    </row>
    <row r="110" spans="4:4">
      <c r="D110" s="4" t="s">
        <v>170</v>
      </c>
    </row>
    <row r="111" spans="4:4">
      <c r="D111" s="4" t="s">
        <v>171</v>
      </c>
    </row>
    <row r="112" spans="4:4">
      <c r="D112" s="4" t="s">
        <v>172</v>
      </c>
    </row>
    <row r="114" spans="3:4">
      <c r="C114" s="4" t="s">
        <v>173</v>
      </c>
      <c r="D114" s="4" t="s">
        <v>174</v>
      </c>
    </row>
    <row r="115" spans="4:4">
      <c r="D115" s="4" t="s">
        <v>112</v>
      </c>
    </row>
    <row r="116" spans="4:4">
      <c r="D116" s="4" t="s">
        <v>175</v>
      </c>
    </row>
    <row r="117" spans="4:4">
      <c r="D117" s="4" t="s">
        <v>114</v>
      </c>
    </row>
    <row r="118" spans="4:4">
      <c r="D118" s="4" t="s">
        <v>176</v>
      </c>
    </row>
    <row r="119" spans="4:4">
      <c r="D119" s="4" t="s">
        <v>177</v>
      </c>
    </row>
    <row r="120" spans="4:4">
      <c r="D120" s="4" t="s">
        <v>178</v>
      </c>
    </row>
    <row r="121" spans="4:4">
      <c r="D121" s="4" t="s">
        <v>179</v>
      </c>
    </row>
    <row r="123" spans="4:4">
      <c r="D123" s="4" t="s">
        <v>180</v>
      </c>
    </row>
    <row r="124" spans="4:4">
      <c r="D124" s="4" t="s">
        <v>181</v>
      </c>
    </row>
    <row r="125" spans="4:4">
      <c r="D125" s="4" t="s">
        <v>182</v>
      </c>
    </row>
    <row r="129" spans="4:4">
      <c r="D129" s="4" t="s">
        <v>183</v>
      </c>
    </row>
    <row r="131" spans="4:4">
      <c r="D131" s="4" t="s">
        <v>184</v>
      </c>
    </row>
    <row r="132" spans="4:4">
      <c r="D132" s="4" t="s">
        <v>185</v>
      </c>
    </row>
    <row r="133" spans="4:4">
      <c r="D133" s="4" t="s">
        <v>186</v>
      </c>
    </row>
    <row r="135" spans="4:4">
      <c r="D135" s="4" t="s">
        <v>187</v>
      </c>
    </row>
    <row r="137" spans="2:4">
      <c r="B137" s="5" t="s">
        <v>188</v>
      </c>
      <c r="D137" s="4" t="s">
        <v>189</v>
      </c>
    </row>
    <row r="138" ht="17" spans="2:4">
      <c r="B138" s="5"/>
      <c r="D138" s="5" t="s">
        <v>190</v>
      </c>
    </row>
    <row r="139" spans="2:4">
      <c r="B139" s="5"/>
      <c r="D139" s="4" t="s">
        <v>191</v>
      </c>
    </row>
    <row r="140" spans="2:4">
      <c r="B140" s="5"/>
      <c r="D140" s="4" t="s">
        <v>192</v>
      </c>
    </row>
    <row r="141" ht="17" spans="2:4">
      <c r="B141" s="5"/>
      <c r="D141" s="5" t="s">
        <v>193</v>
      </c>
    </row>
    <row r="142" spans="2:4">
      <c r="B142" s="5"/>
      <c r="D142" s="4" t="s">
        <v>194</v>
      </c>
    </row>
    <row r="143" spans="2:4">
      <c r="B143" s="5"/>
      <c r="D143" s="4" t="s">
        <v>195</v>
      </c>
    </row>
    <row r="144" spans="2:2">
      <c r="B144" s="5"/>
    </row>
    <row r="145" spans="4:4">
      <c r="D145" s="5" t="s">
        <v>196</v>
      </c>
    </row>
    <row r="146" spans="4:4">
      <c r="D146" s="4" t="s">
        <v>197</v>
      </c>
    </row>
    <row r="147" spans="4:4">
      <c r="D147" s="4" t="s">
        <v>198</v>
      </c>
    </row>
    <row r="148" spans="4:4">
      <c r="D148" s="4" t="s">
        <v>199</v>
      </c>
    </row>
    <row r="149" spans="4:4">
      <c r="D149" s="4" t="s">
        <v>200</v>
      </c>
    </row>
    <row r="150" spans="4:4">
      <c r="D150" s="4" t="s">
        <v>201</v>
      </c>
    </row>
    <row r="151" spans="4:4">
      <c r="D151" s="4" t="s">
        <v>202</v>
      </c>
    </row>
    <row r="153" spans="4:4">
      <c r="D153" s="5" t="s">
        <v>203</v>
      </c>
    </row>
    <row r="154" spans="4:4">
      <c r="D154" s="4" t="s">
        <v>204</v>
      </c>
    </row>
    <row r="155" spans="4:4">
      <c r="D155" s="4" t="s">
        <v>205</v>
      </c>
    </row>
    <row r="156" spans="4:4">
      <c r="D156" s="4" t="s">
        <v>206</v>
      </c>
    </row>
    <row r="158" spans="4:4">
      <c r="D158" s="5" t="s">
        <v>207</v>
      </c>
    </row>
    <row r="159" spans="4:4">
      <c r="D159" s="4" t="s">
        <v>208</v>
      </c>
    </row>
    <row r="160" spans="4:4">
      <c r="D160" s="4" t="s">
        <v>209</v>
      </c>
    </row>
    <row r="161" spans="4:4">
      <c r="D161" s="4" t="s">
        <v>210</v>
      </c>
    </row>
    <row r="162" spans="4:4">
      <c r="D162" s="4" t="s">
        <v>211</v>
      </c>
    </row>
    <row r="163" spans="4:4">
      <c r="D163" s="4" t="s">
        <v>212</v>
      </c>
    </row>
    <row r="165" spans="4:4">
      <c r="D165" s="5" t="s">
        <v>213</v>
      </c>
    </row>
    <row r="166" spans="4:4">
      <c r="D166" s="4" t="s">
        <v>214</v>
      </c>
    </row>
    <row r="168" spans="2:4">
      <c r="B168" s="5" t="s">
        <v>215</v>
      </c>
      <c r="D168" s="4" t="s">
        <v>216</v>
      </c>
    </row>
    <row r="169" spans="2:4">
      <c r="B169" s="5"/>
      <c r="D169" s="4" t="s">
        <v>217</v>
      </c>
    </row>
    <row r="170" spans="4:4">
      <c r="D170" s="4" t="s">
        <v>218</v>
      </c>
    </row>
    <row r="171" spans="3:4">
      <c r="C171" s="5" t="s">
        <v>109</v>
      </c>
      <c r="D171" s="5" t="s">
        <v>219</v>
      </c>
    </row>
    <row r="175" spans="4:4">
      <c r="D175" s="66" t="s">
        <v>220</v>
      </c>
    </row>
    <row r="176" spans="4:4">
      <c r="D176" s="66" t="s">
        <v>221</v>
      </c>
    </row>
    <row r="177" spans="4:4">
      <c r="D177" s="66" t="s">
        <v>222</v>
      </c>
    </row>
    <row r="178" spans="4:4">
      <c r="D178" t="s">
        <v>223</v>
      </c>
    </row>
    <row r="180" spans="4:4">
      <c r="D180" s="5" t="s">
        <v>224</v>
      </c>
    </row>
    <row r="181" spans="4:4">
      <c r="D181" s="4" t="s">
        <v>225</v>
      </c>
    </row>
    <row r="182" spans="4:4">
      <c r="D182" s="4" t="s">
        <v>226</v>
      </c>
    </row>
    <row r="183" spans="4:4">
      <c r="D183" t="s">
        <v>227</v>
      </c>
    </row>
    <row r="184" spans="4:4">
      <c r="D184" s="4" t="s">
        <v>228</v>
      </c>
    </row>
    <row r="187" spans="4:4">
      <c r="D187" s="4" t="s">
        <v>229</v>
      </c>
    </row>
    <row r="188" spans="4:4">
      <c r="D188" t="s">
        <v>230</v>
      </c>
    </row>
    <row r="192" spans="4:4">
      <c r="D192" s="4" t="s">
        <v>231</v>
      </c>
    </row>
    <row r="194" spans="4:4">
      <c r="D194"/>
    </row>
    <row r="196" spans="4:4">
      <c r="D196" s="4" t="s">
        <v>232</v>
      </c>
    </row>
    <row r="198" spans="4:4">
      <c r="D198" s="1" t="s">
        <v>233</v>
      </c>
    </row>
    <row r="199" spans="4:4">
      <c r="D199" s="4" t="s">
        <v>234</v>
      </c>
    </row>
    <row r="200" spans="4:4">
      <c r="D200" s="4" t="s">
        <v>235</v>
      </c>
    </row>
    <row r="202" spans="4:4">
      <c r="D202" s="5" t="s">
        <v>236</v>
      </c>
    </row>
    <row r="203" spans="4:4">
      <c r="D203" s="4" t="s">
        <v>237</v>
      </c>
    </row>
    <row r="204" spans="4:4">
      <c r="D204" s="4" t="s">
        <v>238</v>
      </c>
    </row>
    <row r="205" spans="3:4">
      <c r="C205" s="5" t="s">
        <v>239</v>
      </c>
      <c r="D205" s="1" t="s">
        <v>240</v>
      </c>
    </row>
    <row r="206" spans="4:4">
      <c r="D206" s="4" t="s">
        <v>241</v>
      </c>
    </row>
    <row r="207" spans="4:4">
      <c r="D207" s="5" t="s">
        <v>242</v>
      </c>
    </row>
    <row r="208" spans="4:4">
      <c r="D208" t="s">
        <v>243</v>
      </c>
    </row>
    <row r="209" spans="4:4">
      <c r="D209" s="5" t="s">
        <v>244</v>
      </c>
    </row>
    <row r="210" spans="4:4">
      <c r="D210" s="4" t="s">
        <v>245</v>
      </c>
    </row>
    <row r="211" spans="4:4">
      <c r="D211" s="4" t="s">
        <v>246</v>
      </c>
    </row>
    <row r="212" spans="4:4">
      <c r="D212" s="1" t="s">
        <v>247</v>
      </c>
    </row>
    <row r="213" spans="4:4">
      <c r="D213" s="4" t="s">
        <v>248</v>
      </c>
    </row>
    <row r="214" spans="4:4">
      <c r="D214" s="4" t="s">
        <v>249</v>
      </c>
    </row>
    <row r="215" spans="4:4">
      <c r="D215" s="1" t="s">
        <v>250</v>
      </c>
    </row>
    <row r="216" spans="4:4">
      <c r="D216" s="4" t="s">
        <v>251</v>
      </c>
    </row>
    <row r="217" spans="4:4">
      <c r="D217" s="4" t="s">
        <v>252</v>
      </c>
    </row>
    <row r="218" spans="4:4">
      <c r="D218" s="1" t="s">
        <v>253</v>
      </c>
    </row>
    <row r="219" spans="4:4">
      <c r="D219" s="4" t="s">
        <v>254</v>
      </c>
    </row>
    <row r="220" spans="3:4">
      <c r="C220" s="5" t="s">
        <v>255</v>
      </c>
      <c r="D220" s="4" t="s">
        <v>256</v>
      </c>
    </row>
    <row r="221" spans="4:4">
      <c r="D221" s="5" t="s">
        <v>257</v>
      </c>
    </row>
    <row r="222" ht="17" spans="4:4">
      <c r="D222" s="5" t="s">
        <v>258</v>
      </c>
    </row>
    <row r="223" ht="17" spans="4:4">
      <c r="D223" s="5" t="s">
        <v>259</v>
      </c>
    </row>
    <row r="224" spans="4:4">
      <c r="D224" s="4" t="s">
        <v>260</v>
      </c>
    </row>
    <row r="225" ht="17" spans="4:4">
      <c r="D225" s="5" t="s">
        <v>261</v>
      </c>
    </row>
    <row r="226" spans="4:4">
      <c r="D226" s="4" t="s">
        <v>262</v>
      </c>
    </row>
    <row r="227" spans="4:4">
      <c r="D227" s="4" t="s">
        <v>263</v>
      </c>
    </row>
    <row r="228" spans="4:4">
      <c r="D228" s="4" t="s">
        <v>264</v>
      </c>
    </row>
    <row r="229" spans="4:4">
      <c r="D229" s="5" t="s">
        <v>265</v>
      </c>
    </row>
    <row r="230" spans="4:4">
      <c r="D230" s="5" t="s">
        <v>266</v>
      </c>
    </row>
    <row r="231" spans="4:4">
      <c r="D231" s="5"/>
    </row>
    <row r="232" spans="4:4">
      <c r="D232" s="9" t="s">
        <v>267</v>
      </c>
    </row>
    <row r="233" spans="4:4">
      <c r="D233" s="9"/>
    </row>
    <row r="234" spans="2:4">
      <c r="B234" s="5" t="s">
        <v>268</v>
      </c>
      <c r="D234" s="5" t="s">
        <v>269</v>
      </c>
    </row>
    <row r="235" spans="4:4">
      <c r="D235" s="4" t="s">
        <v>270</v>
      </c>
    </row>
    <row r="236" spans="4:4">
      <c r="D236" s="4" t="s">
        <v>271</v>
      </c>
    </row>
    <row r="237" spans="4:4">
      <c r="D237" s="4" t="s">
        <v>272</v>
      </c>
    </row>
    <row r="238" spans="4:4">
      <c r="D238" s="4" t="s">
        <v>273</v>
      </c>
    </row>
    <row r="239" spans="4:4">
      <c r="D239" s="4" t="s">
        <v>274</v>
      </c>
    </row>
    <row r="240" spans="4:4">
      <c r="D240" s="4" t="s">
        <v>275</v>
      </c>
    </row>
    <row r="241" spans="4:4">
      <c r="D241" s="4" t="s">
        <v>276</v>
      </c>
    </row>
    <row r="243" spans="4:4">
      <c r="D243" s="1" t="s">
        <v>277</v>
      </c>
    </row>
    <row r="244" spans="4:4">
      <c r="D244" s="4" t="s">
        <v>278</v>
      </c>
    </row>
    <row r="246" spans="4:4">
      <c r="D246" s="8" t="s">
        <v>279</v>
      </c>
    </row>
    <row r="247" spans="4:4">
      <c r="D247" s="4" t="s">
        <v>280</v>
      </c>
    </row>
    <row r="248" spans="4:4">
      <c r="D248" s="4" t="s">
        <v>281</v>
      </c>
    </row>
    <row r="249" spans="4:4">
      <c r="D249" s="4" t="s">
        <v>282</v>
      </c>
    </row>
    <row r="251" spans="4:4">
      <c r="D251" s="12" t="s">
        <v>283</v>
      </c>
    </row>
    <row r="252" spans="4:4">
      <c r="D252" s="4" t="s">
        <v>284</v>
      </c>
    </row>
    <row r="253" spans="4:4">
      <c r="D253" s="4" t="s">
        <v>285</v>
      </c>
    </row>
    <row r="255" spans="4:4">
      <c r="D255" s="12" t="s">
        <v>286</v>
      </c>
    </row>
    <row r="256" spans="4:4">
      <c r="D256" s="4" t="s">
        <v>287</v>
      </c>
    </row>
    <row r="257" spans="4:4">
      <c r="D257" s="4" t="s">
        <v>288</v>
      </c>
    </row>
    <row r="259" spans="4:4">
      <c r="D259" s="1" t="s">
        <v>289</v>
      </c>
    </row>
    <row r="260" spans="4:4">
      <c r="D260" s="4" t="s">
        <v>290</v>
      </c>
    </row>
    <row r="261" spans="4:4">
      <c r="D261" s="4" t="s">
        <v>291</v>
      </c>
    </row>
    <row r="263" spans="4:4">
      <c r="D263" s="8" t="s">
        <v>292</v>
      </c>
    </row>
    <row r="264" spans="4:4">
      <c r="D264" s="4" t="s">
        <v>293</v>
      </c>
    </row>
    <row r="282" spans="4:4">
      <c r="D282" s="4" t="s">
        <v>294</v>
      </c>
    </row>
    <row r="283" spans="4:4">
      <c r="D283" s="4" t="s">
        <v>295</v>
      </c>
    </row>
    <row r="284" spans="4:4">
      <c r="D284" s="4" t="s">
        <v>296</v>
      </c>
    </row>
    <row r="285" spans="4:4">
      <c r="D285" s="4" t="s">
        <v>297</v>
      </c>
    </row>
    <row r="286" spans="4:4">
      <c r="D286" s="4" t="s">
        <v>298</v>
      </c>
    </row>
    <row r="288" spans="4:4">
      <c r="D288"/>
    </row>
    <row r="291" spans="4:4">
      <c r="D291" s="9" t="s">
        <v>299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workbookViewId="0">
      <selection activeCell="B26" sqref="B26"/>
    </sheetView>
  </sheetViews>
  <sheetFormatPr defaultColWidth="9" defaultRowHeight="16.8" outlineLevelCol="5"/>
  <cols>
    <col min="1" max="1" width="51.625" customWidth="1"/>
    <col min="2" max="2" width="58.375" customWidth="1"/>
    <col min="3" max="3" width="12.625" customWidth="1"/>
    <col min="4" max="4" width="10.75" customWidth="1"/>
    <col min="5" max="5" width="11.3125" customWidth="1"/>
    <col min="6" max="6" width="14.875" customWidth="1"/>
  </cols>
  <sheetData>
    <row r="1" spans="1:6">
      <c r="A1" s="1" t="s">
        <v>70</v>
      </c>
      <c r="B1" s="1" t="s">
        <v>150</v>
      </c>
      <c r="C1" s="1" t="s">
        <v>300</v>
      </c>
      <c r="D1" s="1" t="s">
        <v>301</v>
      </c>
      <c r="E1" s="1" t="s">
        <v>302</v>
      </c>
      <c r="F1" s="1" t="s">
        <v>303</v>
      </c>
    </row>
    <row r="2" spans="1:6">
      <c r="A2" t="s">
        <v>8</v>
      </c>
      <c r="B2" t="s">
        <v>17</v>
      </c>
      <c r="C2" s="2" cm="1">
        <f t="array" ref="C2">SUMPRODUCT((INDEX(Data_Bin_clean!$B$2:$J$558,0,MATCH(A2,Data_Bin_clean!$B$1:$J$1,0))=B2)*(Data_Bin_clean!$J$2:$J$558=1))</f>
        <v>12</v>
      </c>
      <c r="D2" s="2" cm="1">
        <f t="array" ref="D2">SUMPRODUCT((INDEX(Data_Bin_clean!$B$2:$J$558,0,MATCH(A2,Data_Bin_clean!$B$1:$J$1,0))=B2)*1)</f>
        <v>233</v>
      </c>
      <c r="E2">
        <f>IFERROR(ROUND(C2/D2*100,2),0)</f>
        <v>5.15</v>
      </c>
      <c r="F2" s="2" cm="1">
        <f t="array" ref="F2">_xlfn.XLOOKUP(A2&amp;"|"&amp;B2,Scorecard!$C$2:$C$67&amp;"|"&amp;Scorecard!$D$2:$D$67,Scorecard!$E$2:$E$67,0)</f>
        <v>0</v>
      </c>
    </row>
    <row r="3" spans="1:6">
      <c r="A3" t="s">
        <v>8</v>
      </c>
      <c r="B3" t="s">
        <v>20</v>
      </c>
      <c r="C3" s="2" cm="1">
        <f t="array" ref="C3">SUMPRODUCT((INDEX(Data_Bin_clean!$B$2:$J$558,0,MATCH(A3,Data_Bin_clean!$B$1:$J$1,0))=B3)*(Data_Bin_clean!$J$2:$J$558=1))</f>
        <v>4</v>
      </c>
      <c r="D3" s="2" cm="1">
        <f t="array" ref="D3">SUMPRODUCT((INDEX(Data_Bin_clean!$B$2:$J$558,0,MATCH(A3,Data_Bin_clean!$B$1:$J$1,0))=B3)*1)</f>
        <v>16</v>
      </c>
      <c r="E3">
        <f t="shared" ref="E3:E34" si="0">IFERROR(ROUND(C3/D3*100,2),0)</f>
        <v>25</v>
      </c>
      <c r="F3" s="2" cm="1">
        <f t="array" ref="F3">_xlfn.XLOOKUP(A3&amp;"|"&amp;B3,Scorecard!$C$2:$C$67&amp;"|"&amp;Scorecard!$D$2:$D$67,Scorecard!$E$2:$E$67,0)</f>
        <v>-50</v>
      </c>
    </row>
    <row r="4" spans="1:6">
      <c r="A4" t="s">
        <v>8</v>
      </c>
      <c r="B4" t="s">
        <v>22</v>
      </c>
      <c r="C4" s="2" cm="1">
        <f t="array" ref="C4">SUMPRODUCT((INDEX(Data_Bin_clean!$B$2:$J$558,0,MATCH(A4,Data_Bin_clean!$B$1:$J$1,0))=B4)*(Data_Bin_clean!$J$2:$J$558=1))</f>
        <v>8</v>
      </c>
      <c r="D4" s="2" cm="1">
        <f t="array" ref="D4">SUMPRODUCT((INDEX(Data_Bin_clean!$B$2:$J$558,0,MATCH(A4,Data_Bin_clean!$B$1:$J$1,0))=B4)*1)</f>
        <v>18</v>
      </c>
      <c r="E4">
        <f t="shared" si="0"/>
        <v>44.44</v>
      </c>
      <c r="F4" s="2" cm="1">
        <f t="array" ref="F4">_xlfn.XLOOKUP(A4&amp;"|"&amp;B4,Scorecard!$C$2:$C$67&amp;"|"&amp;Scorecard!$D$2:$D$67,Scorecard!$E$2:$E$67,0)</f>
        <v>-100</v>
      </c>
    </row>
    <row r="5" spans="1:6">
      <c r="A5" t="s">
        <v>8</v>
      </c>
      <c r="B5" t="s">
        <v>31</v>
      </c>
      <c r="C5" s="2" cm="1">
        <f t="array" ref="C5">SUMPRODUCT((INDEX(Data_Bin_clean!$B$2:$J$558,0,MATCH(A5,Data_Bin_clean!$B$1:$J$1,0))=B5)*(Data_Bin_clean!$J$2:$J$558=1))</f>
        <v>5</v>
      </c>
      <c r="D5" s="2" cm="1">
        <f t="array" ref="D5">SUMPRODUCT((INDEX(Data_Bin_clean!$B$2:$J$558,0,MATCH(A5,Data_Bin_clean!$B$1:$J$1,0))=B5)*1)</f>
        <v>8</v>
      </c>
      <c r="E5">
        <f t="shared" si="0"/>
        <v>62.5</v>
      </c>
      <c r="F5" s="2" cm="1">
        <f t="array" ref="F5">_xlfn.XLOOKUP(A5&amp;"|"&amp;B5,Scorecard!$C$2:$C$67&amp;"|"&amp;Scorecard!$D$2:$D$67,Scorecard!$E$2:$E$67,0)</f>
        <v>-100</v>
      </c>
    </row>
    <row r="6" spans="1:6">
      <c r="A6" t="s">
        <v>8</v>
      </c>
      <c r="B6" t="s">
        <v>36</v>
      </c>
      <c r="C6" s="2" cm="1">
        <f t="array" ref="C6">SUMPRODUCT((INDEX(Data_Bin_clean!$B$2:$J$558,0,MATCH(A6,Data_Bin_clean!$B$1:$J$1,0))=B6)*(Data_Bin_clean!$J$2:$J$558=1))</f>
        <v>21</v>
      </c>
      <c r="D6" s="2" cm="1">
        <f t="array" ref="D6">SUMPRODUCT((INDEX(Data_Bin_clean!$B$2:$J$558,0,MATCH(A6,Data_Bin_clean!$B$1:$J$1,0))=B6)*1)</f>
        <v>271</v>
      </c>
      <c r="E6">
        <f t="shared" si="0"/>
        <v>7.75</v>
      </c>
      <c r="F6" s="2" cm="1">
        <f t="array" ref="F6">_xlfn.XLOOKUP(A6&amp;"|"&amp;B6,Scorecard!$C$2:$C$67&amp;"|"&amp;Scorecard!$D$2:$D$67,Scorecard!$E$2:$E$67,0)</f>
        <v>0</v>
      </c>
    </row>
    <row r="7" spans="1:6">
      <c r="A7" t="s">
        <v>8</v>
      </c>
      <c r="B7" t="s">
        <v>37</v>
      </c>
      <c r="C7" s="2" cm="1">
        <f t="array" ref="C7">SUMPRODUCT((INDEX(Data_Bin_clean!$B$2:$J$558,0,MATCH(A7,Data_Bin_clean!$B$1:$J$1,0))=B7)*(Data_Bin_clean!$J$2:$J$558=1))</f>
        <v>0</v>
      </c>
      <c r="D7" s="2" cm="1">
        <f t="array" ref="D7">SUMPRODUCT((INDEX(Data_Bin_clean!$B$2:$J$558,0,MATCH(A7,Data_Bin_clean!$B$1:$J$1,0))=B7)*1)</f>
        <v>10</v>
      </c>
      <c r="E7">
        <f t="shared" si="0"/>
        <v>0</v>
      </c>
      <c r="F7" s="2" cm="1">
        <f t="array" ref="F7">_xlfn.XLOOKUP(A7&amp;"|"&amp;B7,Scorecard!$C$2:$C$67&amp;"|"&amp;Scorecard!$D$2:$D$67,Scorecard!$E$2:$E$67,0)</f>
        <v>-50</v>
      </c>
    </row>
    <row r="8" spans="1:6">
      <c r="A8" t="s">
        <v>8</v>
      </c>
      <c r="B8" t="s">
        <v>29</v>
      </c>
      <c r="C8" s="2" cm="1">
        <f t="array" ref="C8">SUMPRODUCT((INDEX(Data_Bin_clean!$B$2:$J$558,0,MATCH(A8,Data_Bin_clean!$B$1:$J$1,0))=B8)*(Data_Bin_clean!$J$2:$J$558=1))</f>
        <v>0</v>
      </c>
      <c r="D8" s="2" cm="1">
        <f t="array" ref="D8">SUMPRODUCT((INDEX(Data_Bin_clean!$B$2:$J$558,0,MATCH(A8,Data_Bin_clean!$B$1:$J$1,0))=B8)*1)</f>
        <v>1</v>
      </c>
      <c r="E8">
        <f t="shared" si="0"/>
        <v>0</v>
      </c>
      <c r="F8" s="2" cm="1">
        <f t="array" ref="F8">_xlfn.XLOOKUP(A8&amp;"|"&amp;B8,Scorecard!$C$2:$C$67&amp;"|"&amp;Scorecard!$D$2:$D$67,Scorecard!$E$2:$E$67,0)</f>
        <v>0</v>
      </c>
    </row>
    <row r="9" spans="1:6">
      <c r="A9" t="s">
        <v>8</v>
      </c>
      <c r="B9" s="3" t="s">
        <v>67</v>
      </c>
      <c r="C9" s="2" cm="1">
        <f t="array" ref="C9">SUMPRODUCT((INDEX(Data_Bin_clean!$B$2:$J$558,0,MATCH(A9,Data_Bin_clean!$B$1:$J$1,0))=B9)*(Data_Bin_clean!$J$2:$J$558=1))</f>
        <v>0</v>
      </c>
      <c r="D9" s="2" cm="1">
        <f t="array" ref="D9">SUMPRODUCT((INDEX(Data_Bin_clean!$B$2:$J$558,0,MATCH(A9,Data_Bin_clean!$B$1:$J$1,0))=B9)*1)</f>
        <v>0</v>
      </c>
      <c r="E9">
        <f t="shared" si="0"/>
        <v>0</v>
      </c>
      <c r="F9" s="2" cm="1">
        <f t="array" ref="F9">_xlfn.XLOOKUP(A9&amp;"|"&amp;B9,Scorecard!$C$2:$C$67&amp;"|"&amp;Scorecard!$D$2:$D$67,Scorecard!$E$2:$E$67,0)</f>
        <v>0</v>
      </c>
    </row>
    <row r="10" spans="1:6">
      <c r="A10" t="s">
        <v>9</v>
      </c>
      <c r="B10" t="s">
        <v>18</v>
      </c>
      <c r="C10" s="2" cm="1">
        <f t="array" ref="C10">SUMPRODUCT((INDEX(Data_Bin_clean!$B$2:$J$558,0,MATCH(A10,Data_Bin_clean!$B$1:$J$1,0))=B10)*(Data_Bin_clean!$J$2:$J$558=1))</f>
        <v>9</v>
      </c>
      <c r="D10" s="2" cm="1">
        <f t="array" ref="D10">SUMPRODUCT((INDEX(Data_Bin_clean!$B$2:$J$558,0,MATCH(A10,Data_Bin_clean!$B$1:$J$1,0))=B10)*1)</f>
        <v>185</v>
      </c>
      <c r="E10">
        <f t="shared" si="0"/>
        <v>4.86</v>
      </c>
      <c r="F10" s="2" cm="1">
        <f t="array" ref="F10">_xlfn.XLOOKUP(A10&amp;"|"&amp;B10,Scorecard!$C$2:$C$67&amp;"|"&amp;Scorecard!$D$2:$D$67,Scorecard!$E$2:$E$67,0)</f>
        <v>0</v>
      </c>
    </row>
    <row r="11" spans="1:6">
      <c r="A11" t="s">
        <v>9</v>
      </c>
      <c r="B11" t="s">
        <v>21</v>
      </c>
      <c r="C11" s="2" cm="1">
        <f t="array" ref="C11">SUMPRODUCT((INDEX(Data_Bin_clean!$B$2:$J$558,0,MATCH(A11,Data_Bin_clean!$B$1:$J$1,0))=B11)*(Data_Bin_clean!$J$2:$J$558=1))</f>
        <v>4</v>
      </c>
      <c r="D11" s="2" cm="1">
        <f t="array" ref="D11">SUMPRODUCT((INDEX(Data_Bin_clean!$B$2:$J$558,0,MATCH(A11,Data_Bin_clean!$B$1:$J$1,0))=B11)*1)</f>
        <v>33</v>
      </c>
      <c r="E11">
        <f t="shared" si="0"/>
        <v>12.12</v>
      </c>
      <c r="F11" s="2" cm="1">
        <f t="array" ref="F11">_xlfn.XLOOKUP(A11&amp;"|"&amp;B11,Scorecard!$C$2:$C$67&amp;"|"&amp;Scorecard!$D$2:$D$67,Scorecard!$E$2:$E$67,0)</f>
        <v>-50</v>
      </c>
    </row>
    <row r="12" spans="1:6">
      <c r="A12" t="s">
        <v>9</v>
      </c>
      <c r="B12" t="s">
        <v>23</v>
      </c>
      <c r="C12" s="2" cm="1">
        <f t="array" ref="C12">SUMPRODUCT((INDEX(Data_Bin_clean!$B$2:$J$558,0,MATCH(A12,Data_Bin_clean!$B$1:$J$1,0))=B12)*(Data_Bin_clean!$J$2:$J$558=1))</f>
        <v>12</v>
      </c>
      <c r="D12" s="2" cm="1">
        <f t="array" ref="D12">SUMPRODUCT((INDEX(Data_Bin_clean!$B$2:$J$558,0,MATCH(A12,Data_Bin_clean!$B$1:$J$1,0))=B12)*1)</f>
        <v>27</v>
      </c>
      <c r="E12">
        <f t="shared" si="0"/>
        <v>44.44</v>
      </c>
      <c r="F12" s="2" cm="1">
        <f t="array" ref="F12">_xlfn.XLOOKUP(A12&amp;"|"&amp;B12,Scorecard!$C$2:$C$67&amp;"|"&amp;Scorecard!$D$2:$D$67,Scorecard!$E$2:$E$67,0)</f>
        <v>-100</v>
      </c>
    </row>
    <row r="13" spans="1:6">
      <c r="A13" t="s">
        <v>9</v>
      </c>
      <c r="B13" t="s">
        <v>25</v>
      </c>
      <c r="C13" s="2" cm="1">
        <f t="array" ref="C13">SUMPRODUCT((INDEX(Data_Bin_clean!$B$2:$J$558,0,MATCH(A13,Data_Bin_clean!$B$1:$J$1,0))=B13)*(Data_Bin_clean!$J$2:$J$558=1))</f>
        <v>4</v>
      </c>
      <c r="D13" s="2" cm="1">
        <f t="array" ref="D13">SUMPRODUCT((INDEX(Data_Bin_clean!$B$2:$J$558,0,MATCH(A13,Data_Bin_clean!$B$1:$J$1,0))=B13)*1)</f>
        <v>30</v>
      </c>
      <c r="E13">
        <f t="shared" si="0"/>
        <v>13.33</v>
      </c>
      <c r="F13" s="2" cm="1">
        <f t="array" ref="F13">_xlfn.XLOOKUP(A13&amp;"|"&amp;B13,Scorecard!$C$2:$C$67&amp;"|"&amp;Scorecard!$D$2:$D$67,Scorecard!$E$2:$E$67,0)</f>
        <v>-100</v>
      </c>
    </row>
    <row r="14" spans="1:6">
      <c r="A14" t="s">
        <v>9</v>
      </c>
      <c r="B14" s="3" t="s">
        <v>67</v>
      </c>
      <c r="C14" s="2" cm="1">
        <f t="array" ref="C14">SUMPRODUCT((INDEX(Data_Bin_clean!$B$2:$J$558,0,MATCH(A14,Data_Bin_clean!$B$1:$J$1,0))=B14)*(Data_Bin_clean!$J$2:$J$558=1))</f>
        <v>21</v>
      </c>
      <c r="D14" s="2" cm="1">
        <f t="array" ref="D14">SUMPRODUCT((INDEX(Data_Bin_clean!$B$2:$J$558,0,MATCH(A14,Data_Bin_clean!$B$1:$J$1,0))=B14)*1)</f>
        <v>282</v>
      </c>
      <c r="E14">
        <f t="shared" si="0"/>
        <v>7.45</v>
      </c>
      <c r="F14" s="2" cm="1">
        <f t="array" ref="F14">_xlfn.XLOOKUP(A14&amp;"|"&amp;B14,Scorecard!$C$2:$C$67&amp;"|"&amp;Scorecard!$D$2:$D$67,Scorecard!$E$2:$E$67,0)</f>
        <v>0</v>
      </c>
    </row>
    <row r="15" spans="1:6">
      <c r="A15" t="s">
        <v>10</v>
      </c>
      <c r="B15" t="s">
        <v>19</v>
      </c>
      <c r="C15" s="2" cm="1">
        <f t="array" ref="C15">SUMPRODUCT((INDEX(Data_Bin_clean!$B$2:$J$558,0,MATCH(A15,Data_Bin_clean!$B$1:$J$1,0))=B15)*(Data_Bin_clean!$J$2:$J$558=1))</f>
        <v>19</v>
      </c>
      <c r="D15" s="2" cm="1">
        <f t="array" ref="D15">SUMPRODUCT((INDEX(Data_Bin_clean!$B$2:$J$558,0,MATCH(A15,Data_Bin_clean!$B$1:$J$1,0))=B15)*1)</f>
        <v>342</v>
      </c>
      <c r="E15">
        <f t="shared" si="0"/>
        <v>5.56</v>
      </c>
      <c r="F15" s="2" cm="1">
        <f t="array" ref="F15">_xlfn.XLOOKUP(A15&amp;"|"&amp;B15,Scorecard!$C$2:$C$67&amp;"|"&amp;Scorecard!$D$2:$D$67,Scorecard!$E$2:$E$67,0)</f>
        <v>100</v>
      </c>
    </row>
    <row r="16" spans="1:6">
      <c r="A16" t="s">
        <v>10</v>
      </c>
      <c r="B16" t="s">
        <v>24</v>
      </c>
      <c r="C16" s="2" cm="1">
        <f t="array" ref="C16">SUMPRODUCT((INDEX(Data_Bin_clean!$B$2:$J$558,0,MATCH(A16,Data_Bin_clean!$B$1:$J$1,0))=B16)*(Data_Bin_clean!$J$2:$J$558=1))</f>
        <v>4</v>
      </c>
      <c r="D16" s="2" cm="1">
        <f t="array" ref="D16">SUMPRODUCT((INDEX(Data_Bin_clean!$B$2:$J$558,0,MATCH(A16,Data_Bin_clean!$B$1:$J$1,0))=B16)*1)</f>
        <v>16</v>
      </c>
      <c r="E16">
        <f t="shared" si="0"/>
        <v>25</v>
      </c>
      <c r="F16" s="2" cm="1">
        <f t="array" ref="F16">_xlfn.XLOOKUP(A16&amp;"|"&amp;B16,Scorecard!$C$2:$C$67&amp;"|"&amp;Scorecard!$D$2:$D$67,Scorecard!$E$2:$E$67,0)</f>
        <v>-100</v>
      </c>
    </row>
    <row r="17" spans="1:6">
      <c r="A17" t="s">
        <v>10</v>
      </c>
      <c r="B17" t="s">
        <v>26</v>
      </c>
      <c r="C17" s="2" cm="1">
        <f t="array" ref="C17">SUMPRODUCT((INDEX(Data_Bin_clean!$B$2:$J$558,0,MATCH(A17,Data_Bin_clean!$B$1:$J$1,0))=B17)*(Data_Bin_clean!$J$2:$J$558=1))</f>
        <v>4</v>
      </c>
      <c r="D17" s="2" cm="1">
        <f t="array" ref="D17">SUMPRODUCT((INDEX(Data_Bin_clean!$B$2:$J$558,0,MATCH(A17,Data_Bin_clean!$B$1:$J$1,0))=B17)*1)</f>
        <v>59</v>
      </c>
      <c r="E17">
        <f t="shared" si="0"/>
        <v>6.78</v>
      </c>
      <c r="F17" s="2" cm="1">
        <f t="array" ref="F17">_xlfn.XLOOKUP(A17&amp;"|"&amp;B17,Scorecard!$C$2:$C$67&amp;"|"&amp;Scorecard!$D$2:$D$67,Scorecard!$E$2:$E$67,0)</f>
        <v>-25</v>
      </c>
    </row>
    <row r="18" spans="1:6">
      <c r="A18" t="s">
        <v>10</v>
      </c>
      <c r="B18" t="s">
        <v>27</v>
      </c>
      <c r="C18" s="2" cm="1">
        <f t="array" ref="C18">SUMPRODUCT((INDEX(Data_Bin_clean!$B$2:$J$558,0,MATCH(A18,Data_Bin_clean!$B$1:$J$1,0))=B18)*(Data_Bin_clean!$J$2:$J$558=1))</f>
        <v>0</v>
      </c>
      <c r="D18" s="2" cm="1">
        <f t="array" ref="D18">SUMPRODUCT((INDEX(Data_Bin_clean!$B$2:$J$558,0,MATCH(A18,Data_Bin_clean!$B$1:$J$1,0))=B18)*1)</f>
        <v>9</v>
      </c>
      <c r="E18">
        <f t="shared" si="0"/>
        <v>0</v>
      </c>
      <c r="F18" s="2" cm="1">
        <f t="array" ref="F18">_xlfn.XLOOKUP(A18&amp;"|"&amp;B18,Scorecard!$C$2:$C$67&amp;"|"&amp;Scorecard!$D$2:$D$67,Scorecard!$E$2:$E$67,0)</f>
        <v>100</v>
      </c>
    </row>
    <row r="19" spans="1:6">
      <c r="A19" t="s">
        <v>10</v>
      </c>
      <c r="B19" t="s">
        <v>29</v>
      </c>
      <c r="C19" s="2" cm="1">
        <f t="array" ref="C19">SUMPRODUCT((INDEX(Data_Bin_clean!$B$2:$J$558,0,MATCH(A19,Data_Bin_clean!$B$1:$J$1,0))=B19)*(Data_Bin_clean!$J$2:$J$558=1))</f>
        <v>1</v>
      </c>
      <c r="D19" s="2" cm="1">
        <f t="array" ref="D19">SUMPRODUCT((INDEX(Data_Bin_clean!$B$2:$J$558,0,MATCH(A19,Data_Bin_clean!$B$1:$J$1,0))=B19)*1)</f>
        <v>6</v>
      </c>
      <c r="E19">
        <f t="shared" si="0"/>
        <v>16.67</v>
      </c>
      <c r="F19" s="2" cm="1">
        <f t="array" ref="F19">_xlfn.XLOOKUP(A19&amp;"|"&amp;B19,Scorecard!$C$2:$C$67&amp;"|"&amp;Scorecard!$D$2:$D$67,Scorecard!$E$2:$E$67,0)</f>
        <v>-100</v>
      </c>
    </row>
    <row r="20" spans="1:6">
      <c r="A20" t="s">
        <v>10</v>
      </c>
      <c r="B20" t="s">
        <v>30</v>
      </c>
      <c r="C20" s="2" cm="1">
        <f t="array" ref="C20">SUMPRODUCT((INDEX(Data_Bin_clean!$B$2:$J$558,0,MATCH(A20,Data_Bin_clean!$B$1:$J$1,0))=B20)*(Data_Bin_clean!$J$2:$J$558=1))</f>
        <v>5</v>
      </c>
      <c r="D20" s="2" cm="1">
        <f t="array" ref="D20">SUMPRODUCT((INDEX(Data_Bin_clean!$B$2:$J$558,0,MATCH(A20,Data_Bin_clean!$B$1:$J$1,0))=B20)*1)</f>
        <v>29</v>
      </c>
      <c r="E20">
        <f t="shared" si="0"/>
        <v>17.24</v>
      </c>
      <c r="F20" s="2" cm="1">
        <f t="array" ref="F20">_xlfn.XLOOKUP(A20&amp;"|"&amp;B20,Scorecard!$C$2:$C$67&amp;"|"&amp;Scorecard!$D$2:$D$67,Scorecard!$E$2:$E$67,0)</f>
        <v>-50</v>
      </c>
    </row>
    <row r="21" spans="1:6">
      <c r="A21" t="s">
        <v>10</v>
      </c>
      <c r="B21" t="s">
        <v>32</v>
      </c>
      <c r="C21" s="2" cm="1">
        <f t="array" ref="C21">SUMPRODUCT((INDEX(Data_Bin_clean!$B$2:$J$558,0,MATCH(A21,Data_Bin_clean!$B$1:$J$1,0))=B21)*(Data_Bin_clean!$J$2:$J$558=1))</f>
        <v>6</v>
      </c>
      <c r="D21" s="2" cm="1">
        <f t="array" ref="D21">SUMPRODUCT((INDEX(Data_Bin_clean!$B$2:$J$558,0,MATCH(A21,Data_Bin_clean!$B$1:$J$1,0))=B21)*1)</f>
        <v>20</v>
      </c>
      <c r="E21">
        <f t="shared" si="0"/>
        <v>30</v>
      </c>
      <c r="F21" s="2" cm="1">
        <f t="array" ref="F21">_xlfn.XLOOKUP(A21&amp;"|"&amp;B21,Scorecard!$C$2:$C$67&amp;"|"&amp;Scorecard!$D$2:$D$67,Scorecard!$E$2:$E$67,0)</f>
        <v>-75</v>
      </c>
    </row>
    <row r="22" spans="1:6">
      <c r="A22" t="s">
        <v>10</v>
      </c>
      <c r="B22" t="s">
        <v>33</v>
      </c>
      <c r="C22" s="2" cm="1">
        <f t="array" ref="C22">SUMPRODUCT((INDEX(Data_Bin_clean!$B$2:$J$558,0,MATCH(A22,Data_Bin_clean!$B$1:$J$1,0))=B22)*(Data_Bin_clean!$J$2:$J$558=1))</f>
        <v>3</v>
      </c>
      <c r="D22" s="2" cm="1">
        <f t="array" ref="D22">SUMPRODUCT((INDEX(Data_Bin_clean!$B$2:$J$558,0,MATCH(A22,Data_Bin_clean!$B$1:$J$1,0))=B22)*1)</f>
        <v>18</v>
      </c>
      <c r="E22">
        <f t="shared" si="0"/>
        <v>16.67</v>
      </c>
      <c r="F22" s="2" cm="1">
        <f t="array" ref="F22">_xlfn.XLOOKUP(A22&amp;"|"&amp;B22,Scorecard!$C$2:$C$67&amp;"|"&amp;Scorecard!$D$2:$D$67,Scorecard!$E$2:$E$67,0)</f>
        <v>-50</v>
      </c>
    </row>
    <row r="23" spans="1:6">
      <c r="A23" t="s">
        <v>10</v>
      </c>
      <c r="B23" t="s">
        <v>34</v>
      </c>
      <c r="C23" s="2" cm="1">
        <f t="array" ref="C23">SUMPRODUCT((INDEX(Data_Bin_clean!$B$2:$J$558,0,MATCH(A23,Data_Bin_clean!$B$1:$J$1,0))=B23)*(Data_Bin_clean!$J$2:$J$558=1))</f>
        <v>0</v>
      </c>
      <c r="D23" s="2" cm="1">
        <f t="array" ref="D23">SUMPRODUCT((INDEX(Data_Bin_clean!$B$2:$J$558,0,MATCH(A23,Data_Bin_clean!$B$1:$J$1,0))=B23)*1)</f>
        <v>17</v>
      </c>
      <c r="E23">
        <f t="shared" si="0"/>
        <v>0</v>
      </c>
      <c r="F23" s="2" cm="1">
        <f t="array" ref="F23">_xlfn.XLOOKUP(A23&amp;"|"&amp;B23,Scorecard!$C$2:$C$67&amp;"|"&amp;Scorecard!$D$2:$D$67,Scorecard!$E$2:$E$67,0)</f>
        <v>0</v>
      </c>
    </row>
    <row r="24" spans="1:6">
      <c r="A24" t="s">
        <v>10</v>
      </c>
      <c r="B24" t="s">
        <v>35</v>
      </c>
      <c r="C24" s="2" cm="1">
        <f t="array" ref="C24">SUMPRODUCT((INDEX(Data_Bin_clean!$B$2:$J$558,0,MATCH(A24,Data_Bin_clean!$B$1:$J$1,0))=B24)*(Data_Bin_clean!$J$2:$J$558=1))</f>
        <v>7</v>
      </c>
      <c r="D24" s="2" cm="1">
        <f t="array" ref="D24">SUMPRODUCT((INDEX(Data_Bin_clean!$B$2:$J$558,0,MATCH(A24,Data_Bin_clean!$B$1:$J$1,0))=B24)*1)</f>
        <v>7</v>
      </c>
      <c r="E24">
        <f t="shared" si="0"/>
        <v>100</v>
      </c>
      <c r="F24" s="2" cm="1">
        <f t="array" ref="F24">_xlfn.XLOOKUP(A24&amp;"|"&amp;B24,Scorecard!$C$2:$C$67&amp;"|"&amp;Scorecard!$D$2:$D$67,Scorecard!$E$2:$E$67,0)</f>
        <v>-100</v>
      </c>
    </row>
    <row r="25" spans="1:6">
      <c r="A25" t="s">
        <v>10</v>
      </c>
      <c r="B25" t="s">
        <v>38</v>
      </c>
      <c r="C25" s="2" cm="1">
        <f t="array" ref="C25">SUMPRODUCT((INDEX(Data_Bin_clean!$B$2:$J$558,0,MATCH(A25,Data_Bin_clean!$B$1:$J$1,0))=B25)*(Data_Bin_clean!$J$2:$J$558=1))</f>
        <v>1</v>
      </c>
      <c r="D25" s="2" cm="1">
        <f t="array" ref="D25">SUMPRODUCT((INDEX(Data_Bin_clean!$B$2:$J$558,0,MATCH(A25,Data_Bin_clean!$B$1:$J$1,0))=B25)*1)</f>
        <v>7</v>
      </c>
      <c r="E25">
        <f t="shared" si="0"/>
        <v>14.29</v>
      </c>
      <c r="F25" s="2" cm="1">
        <f t="array" ref="F25">_xlfn.XLOOKUP(A25&amp;"|"&amp;B25,Scorecard!$C$2:$C$67&amp;"|"&amp;Scorecard!$D$2:$D$67,Scorecard!$E$2:$E$67,0)</f>
        <v>-75</v>
      </c>
    </row>
    <row r="26" spans="1:6">
      <c r="A26" t="s">
        <v>10</v>
      </c>
      <c r="B26" t="s">
        <v>39</v>
      </c>
      <c r="C26" s="2" cm="1">
        <f t="array" ref="C26">SUMPRODUCT((INDEX(Data_Bin_clean!$B$2:$J$558,0,MATCH(A26,Data_Bin_clean!$B$1:$J$1,0))=B26)*(Data_Bin_clean!$J$2:$J$558=1))</f>
        <v>0</v>
      </c>
      <c r="D26" s="2" cm="1">
        <f t="array" ref="D26">SUMPRODUCT((INDEX(Data_Bin_clean!$B$2:$J$558,0,MATCH(A26,Data_Bin_clean!$B$1:$J$1,0))=B26)*1)</f>
        <v>27</v>
      </c>
      <c r="E26">
        <f t="shared" si="0"/>
        <v>0</v>
      </c>
      <c r="F26" s="2" cm="1">
        <f t="array" ref="F26">_xlfn.XLOOKUP(A26&amp;"|"&amp;B26,Scorecard!$C$2:$C$67&amp;"|"&amp;Scorecard!$D$2:$D$67,Scorecard!$E$2:$E$67,0)</f>
        <v>-25</v>
      </c>
    </row>
    <row r="27" spans="1:6">
      <c r="A27" t="s">
        <v>10</v>
      </c>
      <c r="B27" s="3" t="s">
        <v>67</v>
      </c>
      <c r="C27" s="2" cm="1">
        <f t="array" ref="C27">SUMPRODUCT((INDEX(Data_Bin_clean!$B$2:$J$558,0,MATCH(A27,Data_Bin_clean!$B$1:$J$1,0))=B27)*(Data_Bin_clean!$J$2:$J$558=1))</f>
        <v>0</v>
      </c>
      <c r="D27" s="2" cm="1">
        <f t="array" ref="D27">SUMPRODUCT((INDEX(Data_Bin_clean!$B$2:$J$558,0,MATCH(A27,Data_Bin_clean!$B$1:$J$1,0))=B27)*1)</f>
        <v>0</v>
      </c>
      <c r="E27">
        <f t="shared" si="0"/>
        <v>0</v>
      </c>
      <c r="F27" s="2" cm="1">
        <f t="array" ref="F27">_xlfn.XLOOKUP(A27&amp;"|"&amp;B27,Scorecard!$C$2:$C$67&amp;"|"&amp;Scorecard!$D$2:$D$67,Scorecard!$E$2:$E$67,0)</f>
        <v>0</v>
      </c>
    </row>
    <row r="28" spans="1:6">
      <c r="A28" t="s">
        <v>11</v>
      </c>
      <c r="B28" t="s">
        <v>40</v>
      </c>
      <c r="C28" s="2" cm="1">
        <f t="array" ref="C28">SUMPRODUCT((INDEX(Data_Bin_clean!$B$2:$J$558,0,MATCH(A28,Data_Bin_clean!$B$1:$J$1,0))=B28)*(Data_Bin_clean!$J$2:$J$558=1))</f>
        <v>20</v>
      </c>
      <c r="D28" s="2" cm="1">
        <f t="array" ref="D28">SUMPRODUCT((INDEX(Data_Bin_clean!$B$2:$J$558,0,MATCH(A28,Data_Bin_clean!$B$1:$J$1,0))=B28)*1)</f>
        <v>165</v>
      </c>
      <c r="E28">
        <f t="shared" si="0"/>
        <v>12.12</v>
      </c>
      <c r="F28" s="2" cm="1">
        <f t="array" ref="F28">_xlfn.XLOOKUP(A28&amp;"|"&amp;B28,Scorecard!$C$2:$C$67&amp;"|"&amp;Scorecard!$D$2:$D$67,Scorecard!$E$2:$E$67,0)</f>
        <v>0</v>
      </c>
    </row>
    <row r="29" spans="1:6">
      <c r="A29" t="s">
        <v>11</v>
      </c>
      <c r="B29" t="s">
        <v>42</v>
      </c>
      <c r="C29" s="2" cm="1">
        <f t="array" ref="C29">SUMPRODUCT((INDEX(Data_Bin_clean!$B$2:$J$558,0,MATCH(A29,Data_Bin_clean!$B$1:$J$1,0))=B29)*(Data_Bin_clean!$J$2:$J$558=1))</f>
        <v>0</v>
      </c>
      <c r="D29" s="2" cm="1">
        <f t="array" ref="D29">SUMPRODUCT((INDEX(Data_Bin_clean!$B$2:$J$558,0,MATCH(A29,Data_Bin_clean!$B$1:$J$1,0))=B29)*1)</f>
        <v>57</v>
      </c>
      <c r="E29">
        <f t="shared" si="0"/>
        <v>0</v>
      </c>
      <c r="F29" s="2" cm="1">
        <f t="array" ref="F29">_xlfn.XLOOKUP(A29&amp;"|"&amp;B29,Scorecard!$C$2:$C$67&amp;"|"&amp;Scorecard!$D$2:$D$67,Scorecard!$E$2:$E$67,0)</f>
        <v>75</v>
      </c>
    </row>
    <row r="30" spans="1:6">
      <c r="A30" t="s">
        <v>11</v>
      </c>
      <c r="B30" t="s">
        <v>45</v>
      </c>
      <c r="C30" s="2" cm="1">
        <f t="array" ref="C30">SUMPRODUCT((INDEX(Data_Bin_clean!$B$2:$J$558,0,MATCH(A30,Data_Bin_clean!$B$1:$J$1,0))=B30)*(Data_Bin_clean!$J$2:$J$558=1))</f>
        <v>4</v>
      </c>
      <c r="D30" s="2" cm="1">
        <f t="array" ref="D30">SUMPRODUCT((INDEX(Data_Bin_clean!$B$2:$J$558,0,MATCH(A30,Data_Bin_clean!$B$1:$J$1,0))=B30)*1)</f>
        <v>113</v>
      </c>
      <c r="E30">
        <f t="shared" si="0"/>
        <v>3.54</v>
      </c>
      <c r="F30" s="2" cm="1">
        <f t="array" ref="F30">_xlfn.XLOOKUP(A30&amp;"|"&amp;B30,Scorecard!$C$2:$C$67&amp;"|"&amp;Scorecard!$D$2:$D$67,Scorecard!$E$2:$E$67,0)</f>
        <v>100</v>
      </c>
    </row>
    <row r="31" spans="1:6">
      <c r="A31" t="s">
        <v>11</v>
      </c>
      <c r="B31" t="s">
        <v>48</v>
      </c>
      <c r="C31" s="2" cm="1">
        <f t="array" ref="C31">SUMPRODUCT((INDEX(Data_Bin_clean!$B$2:$J$558,0,MATCH(A31,Data_Bin_clean!$B$1:$J$1,0))=B31)*(Data_Bin_clean!$J$2:$J$558=1))</f>
        <v>18</v>
      </c>
      <c r="D31" s="2" cm="1">
        <f t="array" ref="D31">SUMPRODUCT((INDEX(Data_Bin_clean!$B$2:$J$558,0,MATCH(A31,Data_Bin_clean!$B$1:$J$1,0))=B31)*1)</f>
        <v>122</v>
      </c>
      <c r="E31">
        <f t="shared" si="0"/>
        <v>14.75</v>
      </c>
      <c r="F31" s="2" cm="1">
        <f t="array" ref="F31">_xlfn.XLOOKUP(A31&amp;"|"&amp;B31,Scorecard!$C$2:$C$67&amp;"|"&amp;Scorecard!$D$2:$D$67,Scorecard!$E$2:$E$67,0)</f>
        <v>25</v>
      </c>
    </row>
    <row r="32" spans="1:6">
      <c r="A32" t="s">
        <v>11</v>
      </c>
      <c r="B32" t="s">
        <v>58</v>
      </c>
      <c r="C32" s="2" cm="1">
        <f t="array" ref="C32">SUMPRODUCT((INDEX(Data_Bin_clean!$B$2:$J$558,0,MATCH(A32,Data_Bin_clean!$B$1:$J$1,0))=B32)*(Data_Bin_clean!$J$2:$J$558=1))</f>
        <v>7</v>
      </c>
      <c r="D32" s="2" cm="1">
        <f t="array" ref="D32">SUMPRODUCT((INDEX(Data_Bin_clean!$B$2:$J$558,0,MATCH(A32,Data_Bin_clean!$B$1:$J$1,0))=B32)*1)</f>
        <v>74</v>
      </c>
      <c r="E32">
        <f t="shared" si="0"/>
        <v>9.46</v>
      </c>
      <c r="F32" s="2" cm="1">
        <f t="array" ref="F32">_xlfn.XLOOKUP(A32&amp;"|"&amp;B32,Scorecard!$C$2:$C$67&amp;"|"&amp;Scorecard!$D$2:$D$67,Scorecard!$E$2:$E$67,0)</f>
        <v>50</v>
      </c>
    </row>
    <row r="33" spans="1:6">
      <c r="A33" t="s">
        <v>11</v>
      </c>
      <c r="B33" s="3" t="s">
        <v>67</v>
      </c>
      <c r="C33" s="2" cm="1">
        <f t="array" ref="C33">SUMPRODUCT((INDEX(Data_Bin_clean!$B$2:$J$558,0,MATCH(A33,Data_Bin_clean!$B$1:$J$1,0))=B33)*(Data_Bin_clean!$J$2:$J$558=1))</f>
        <v>1</v>
      </c>
      <c r="D33" s="2" cm="1">
        <f t="array" ref="D33">SUMPRODUCT((INDEX(Data_Bin_clean!$B$2:$J$558,0,MATCH(A33,Data_Bin_clean!$B$1:$J$1,0))=B33)*1)</f>
        <v>26</v>
      </c>
      <c r="E33">
        <f t="shared" si="0"/>
        <v>3.85</v>
      </c>
      <c r="F33" s="2" cm="1">
        <f t="array" ref="F33">_xlfn.XLOOKUP(A33&amp;"|"&amp;B33,Scorecard!$C$2:$C$67&amp;"|"&amp;Scorecard!$D$2:$D$67,Scorecard!$E$2:$E$67,0)</f>
        <v>0</v>
      </c>
    </row>
    <row r="34" spans="1:6">
      <c r="A34" t="s">
        <v>12</v>
      </c>
      <c r="B34" t="s">
        <v>41</v>
      </c>
      <c r="C34" s="2" cm="1">
        <f t="array" ref="C34">SUMPRODUCT((INDEX(Data_Bin_clean!$B$2:$J$558,0,MATCH(A34,Data_Bin_clean!$B$1:$J$1,0))=B34)*(Data_Bin_clean!$J$2:$J$558=1))</f>
        <v>34</v>
      </c>
      <c r="D34" s="2" cm="1">
        <f t="array" ref="D34">SUMPRODUCT((INDEX(Data_Bin_clean!$B$2:$J$558,0,MATCH(A34,Data_Bin_clean!$B$1:$J$1,0))=B34)*1)</f>
        <v>305</v>
      </c>
      <c r="E34">
        <f t="shared" si="0"/>
        <v>11.15</v>
      </c>
      <c r="F34" s="2" cm="1">
        <f t="array" ref="F34">_xlfn.XLOOKUP(A34&amp;"|"&amp;B34,Scorecard!$C$2:$C$67&amp;"|"&amp;Scorecard!$D$2:$D$67,Scorecard!$E$2:$E$67,0)</f>
        <v>-50</v>
      </c>
    </row>
    <row r="35" spans="1:6">
      <c r="A35" t="s">
        <v>12</v>
      </c>
      <c r="B35" t="s">
        <v>50</v>
      </c>
      <c r="C35" s="2" cm="1">
        <f t="array" ref="C35">SUMPRODUCT((INDEX(Data_Bin_clean!$B$2:$J$558,0,MATCH(A35,Data_Bin_clean!$B$1:$J$1,0))=B35)*(Data_Bin_clean!$J$2:$J$558=1))</f>
        <v>0</v>
      </c>
      <c r="D35" s="2" cm="1">
        <f t="array" ref="D35">SUMPRODUCT((INDEX(Data_Bin_clean!$B$2:$J$558,0,MATCH(A35,Data_Bin_clean!$B$1:$J$1,0))=B35)*1)</f>
        <v>29</v>
      </c>
      <c r="E35">
        <f t="shared" ref="E35:E62" si="1">IFERROR(ROUND(C35/D35*100,2),0)</f>
        <v>0</v>
      </c>
      <c r="F35" s="2" cm="1">
        <f t="array" ref="F35">_xlfn.XLOOKUP(A35&amp;"|"&amp;B35,Scorecard!$C$2:$C$67&amp;"|"&amp;Scorecard!$D$2:$D$67,Scorecard!$E$2:$E$67,0)</f>
        <v>75</v>
      </c>
    </row>
    <row r="36" spans="1:6">
      <c r="A36" t="s">
        <v>12</v>
      </c>
      <c r="B36" t="s">
        <v>55</v>
      </c>
      <c r="C36" s="2" cm="1">
        <f t="array" ref="C36">SUMPRODUCT((INDEX(Data_Bin_clean!$B$2:$J$558,0,MATCH(A36,Data_Bin_clean!$B$1:$J$1,0))=B36)*(Data_Bin_clean!$J$2:$J$558=1))</f>
        <v>3</v>
      </c>
      <c r="D36" s="2" cm="1">
        <f t="array" ref="D36">SUMPRODUCT((INDEX(Data_Bin_clean!$B$2:$J$558,0,MATCH(A36,Data_Bin_clean!$B$1:$J$1,0))=B36)*1)</f>
        <v>60</v>
      </c>
      <c r="E36">
        <f t="shared" si="1"/>
        <v>5</v>
      </c>
      <c r="F36" s="2" cm="1">
        <f t="array" ref="F36">_xlfn.XLOOKUP(A36&amp;"|"&amp;B36,Scorecard!$C$2:$C$67&amp;"|"&amp;Scorecard!$D$2:$D$67,Scorecard!$E$2:$E$67,0)</f>
        <v>25</v>
      </c>
    </row>
    <row r="37" spans="1:6">
      <c r="A37" t="s">
        <v>12</v>
      </c>
      <c r="B37" s="3" t="s">
        <v>67</v>
      </c>
      <c r="C37" s="2" cm="1">
        <f t="array" ref="C37">SUMPRODUCT((INDEX(Data_Bin_clean!$B$2:$J$558,0,MATCH(A37,Data_Bin_clean!$B$1:$J$1,0))=B37)*(Data_Bin_clean!$J$2:$J$558=1))</f>
        <v>5</v>
      </c>
      <c r="D37" s="2" cm="1">
        <f t="array" ref="D37">SUMPRODUCT((INDEX(Data_Bin_clean!$B$2:$J$558,0,MATCH(A37,Data_Bin_clean!$B$1:$J$1,0))=B37)*1)</f>
        <v>63</v>
      </c>
      <c r="E37">
        <f t="shared" si="1"/>
        <v>7.94</v>
      </c>
      <c r="F37" s="2" cm="1">
        <f t="array" ref="F37">_xlfn.XLOOKUP(A37&amp;"|"&amp;B37,Scorecard!$C$2:$C$67&amp;"|"&amp;Scorecard!$D$2:$D$67,Scorecard!$E$2:$E$67,0)</f>
        <v>0</v>
      </c>
    </row>
    <row r="38" spans="1:6">
      <c r="A38" t="s">
        <v>12</v>
      </c>
      <c r="B38" t="s">
        <v>60</v>
      </c>
      <c r="C38" s="2" cm="1">
        <f t="array" ref="C38">SUMPRODUCT((INDEX(Data_Bin_clean!$B$2:$J$558,0,MATCH(A38,Data_Bin_clean!$B$1:$J$1,0))=B38)*(Data_Bin_clean!$J$2:$J$558=1))</f>
        <v>6</v>
      </c>
      <c r="D38" s="2" cm="1">
        <f t="array" ref="D38">SUMPRODUCT((INDEX(Data_Bin_clean!$B$2:$J$558,0,MATCH(A38,Data_Bin_clean!$B$1:$J$1,0))=B38)*1)</f>
        <v>50</v>
      </c>
      <c r="E38">
        <f t="shared" si="1"/>
        <v>12</v>
      </c>
      <c r="F38" s="2" cm="1">
        <f t="array" ref="F38">_xlfn.XLOOKUP(A38&amp;"|"&amp;B38,Scorecard!$C$2:$C$67&amp;"|"&amp;Scorecard!$D$2:$D$67,Scorecard!$E$2:$E$67,0)</f>
        <v>100</v>
      </c>
    </row>
    <row r="39" spans="1:6">
      <c r="A39" t="s">
        <v>12</v>
      </c>
      <c r="B39" t="s">
        <v>61</v>
      </c>
      <c r="C39" s="2" cm="1">
        <f t="array" ref="C39">SUMPRODUCT((INDEX(Data_Bin_clean!$B$2:$J$558,0,MATCH(A39,Data_Bin_clean!$B$1:$J$1,0))=B39)*(Data_Bin_clean!$J$2:$J$558=1))</f>
        <v>2</v>
      </c>
      <c r="D39" s="2" cm="1">
        <f t="array" ref="D39">SUMPRODUCT((INDEX(Data_Bin_clean!$B$2:$J$558,0,MATCH(A39,Data_Bin_clean!$B$1:$J$1,0))=B39)*1)</f>
        <v>50</v>
      </c>
      <c r="E39">
        <f t="shared" si="1"/>
        <v>4</v>
      </c>
      <c r="F39" s="2" cm="1">
        <f t="array" ref="F39">_xlfn.XLOOKUP(A39&amp;"|"&amp;B39,Scorecard!$C$2:$C$67&amp;"|"&amp;Scorecard!$D$2:$D$67,Scorecard!$E$2:$E$67,0)</f>
        <v>50</v>
      </c>
    </row>
    <row r="40" spans="1:6">
      <c r="A40" t="s">
        <v>13</v>
      </c>
      <c r="B40" t="s">
        <v>41</v>
      </c>
      <c r="C40" s="2" cm="1">
        <f t="array" ref="C40">SUMPRODUCT((INDEX(Data_Bin_clean!$B$2:$J$558,0,MATCH(A40,Data_Bin_clean!$B$1:$J$1,0))=B40)*(Data_Bin_clean!$J$2:$J$558=1))</f>
        <v>21</v>
      </c>
      <c r="D40" s="2" cm="1">
        <f t="array" ref="D40">SUMPRODUCT((INDEX(Data_Bin_clean!$B$2:$J$558,0,MATCH(A40,Data_Bin_clean!$B$1:$J$1,0))=B40)*1)</f>
        <v>231</v>
      </c>
      <c r="E40">
        <f t="shared" si="1"/>
        <v>9.09</v>
      </c>
      <c r="F40" s="2" cm="1">
        <f t="array" ref="F40">_xlfn.XLOOKUP(A40&amp;"|"&amp;B40,Scorecard!$C$2:$C$67&amp;"|"&amp;Scorecard!$D$2:$D$67,Scorecard!$E$2:$E$67,0)</f>
        <v>0</v>
      </c>
    </row>
    <row r="41" spans="1:6">
      <c r="A41" t="s">
        <v>13</v>
      </c>
      <c r="B41" t="s">
        <v>49</v>
      </c>
      <c r="C41" s="2" cm="1">
        <f t="array" ref="C41">SUMPRODUCT((INDEX(Data_Bin_clean!$B$2:$J$558,0,MATCH(A41,Data_Bin_clean!$B$1:$J$1,0))=B41)*(Data_Bin_clean!$J$2:$J$558=1))</f>
        <v>9</v>
      </c>
      <c r="D41" s="2" cm="1">
        <f t="array" ref="D41">SUMPRODUCT((INDEX(Data_Bin_clean!$B$2:$J$558,0,MATCH(A41,Data_Bin_clean!$B$1:$J$1,0))=B41)*1)</f>
        <v>79</v>
      </c>
      <c r="E41">
        <f t="shared" si="1"/>
        <v>11.39</v>
      </c>
      <c r="F41" s="2" cm="1">
        <f t="array" ref="F41">_xlfn.XLOOKUP(A41&amp;"|"&amp;B41,Scorecard!$C$2:$C$67&amp;"|"&amp;Scorecard!$D$2:$D$67,Scorecard!$E$2:$E$67,0)</f>
        <v>100</v>
      </c>
    </row>
    <row r="42" spans="1:6">
      <c r="A42" t="s">
        <v>13</v>
      </c>
      <c r="B42" t="s">
        <v>56</v>
      </c>
      <c r="C42" s="2" cm="1">
        <f t="array" ref="C42">SUMPRODUCT((INDEX(Data_Bin_clean!$B$2:$J$558,0,MATCH(A42,Data_Bin_clean!$B$1:$J$1,0))=B42)*(Data_Bin_clean!$J$2:$J$558=1))</f>
        <v>3</v>
      </c>
      <c r="D42" s="2" cm="1">
        <f t="array" ref="D42">SUMPRODUCT((INDEX(Data_Bin_clean!$B$2:$J$558,0,MATCH(A42,Data_Bin_clean!$B$1:$J$1,0))=B42)*1)</f>
        <v>44</v>
      </c>
      <c r="E42">
        <f t="shared" si="1"/>
        <v>6.82</v>
      </c>
      <c r="F42" s="2" cm="1">
        <f t="array" ref="F42">_xlfn.XLOOKUP(A42&amp;"|"&amp;B42,Scorecard!$C$2:$C$67&amp;"|"&amp;Scorecard!$D$2:$D$67,Scorecard!$E$2:$E$67,0)</f>
        <v>25</v>
      </c>
    </row>
    <row r="43" spans="1:6">
      <c r="A43" t="s">
        <v>13</v>
      </c>
      <c r="B43" s="3" t="s">
        <v>67</v>
      </c>
      <c r="C43" s="2" cm="1">
        <f t="array" ref="C43">SUMPRODUCT((INDEX(Data_Bin_clean!$B$2:$J$558,0,MATCH(A43,Data_Bin_clean!$B$1:$J$1,0))=B43)*(Data_Bin_clean!$J$2:$J$558=1))</f>
        <v>6</v>
      </c>
      <c r="D43" s="2" cm="1">
        <f t="array" ref="D43">SUMPRODUCT((INDEX(Data_Bin_clean!$B$2:$J$558,0,MATCH(A43,Data_Bin_clean!$B$1:$J$1,0))=B43)*1)</f>
        <v>83</v>
      </c>
      <c r="E43">
        <f t="shared" si="1"/>
        <v>7.23</v>
      </c>
      <c r="F43" s="2" cm="1">
        <f t="array" ref="F43">_xlfn.XLOOKUP(A43&amp;"|"&amp;B43,Scorecard!$C$2:$C$67&amp;"|"&amp;Scorecard!$D$2:$D$67,Scorecard!$E$2:$E$67,0)</f>
        <v>0</v>
      </c>
    </row>
    <row r="44" spans="1:6">
      <c r="A44" t="s">
        <v>13</v>
      </c>
      <c r="B44" t="s">
        <v>64</v>
      </c>
      <c r="C44" s="2" cm="1">
        <f t="array" ref="C44">SUMPRODUCT((INDEX(Data_Bin_clean!$B$2:$J$558,0,MATCH(A44,Data_Bin_clean!$B$1:$J$1,0))=B44)*(Data_Bin_clean!$J$2:$J$558=1))</f>
        <v>6</v>
      </c>
      <c r="D44" s="2" cm="1">
        <f t="array" ref="D44">SUMPRODUCT((INDEX(Data_Bin_clean!$B$2:$J$558,0,MATCH(A44,Data_Bin_clean!$B$1:$J$1,0))=B44)*1)</f>
        <v>48</v>
      </c>
      <c r="E44">
        <f t="shared" si="1"/>
        <v>12.5</v>
      </c>
      <c r="F44" s="2" cm="1">
        <f t="array" ref="F44">_xlfn.XLOOKUP(A44&amp;"|"&amp;B44,Scorecard!$C$2:$C$67&amp;"|"&amp;Scorecard!$D$2:$D$67,Scorecard!$E$2:$E$67,0)</f>
        <v>75</v>
      </c>
    </row>
    <row r="45" spans="1:6">
      <c r="A45" t="s">
        <v>13</v>
      </c>
      <c r="B45" t="s">
        <v>65</v>
      </c>
      <c r="C45" s="2" cm="1">
        <f t="array" ref="C45">SUMPRODUCT((INDEX(Data_Bin_clean!$B$2:$J$558,0,MATCH(A45,Data_Bin_clean!$B$1:$J$1,0))=B45)*(Data_Bin_clean!$J$2:$J$558=1))</f>
        <v>5</v>
      </c>
      <c r="D45" s="2" cm="1">
        <f t="array" ref="D45">SUMPRODUCT((INDEX(Data_Bin_clean!$B$2:$J$558,0,MATCH(A45,Data_Bin_clean!$B$1:$J$1,0))=B45)*1)</f>
        <v>72</v>
      </c>
      <c r="E45">
        <f t="shared" si="1"/>
        <v>6.94</v>
      </c>
      <c r="F45" s="2" cm="1">
        <f t="array" ref="F45">_xlfn.XLOOKUP(A45&amp;"|"&amp;B45,Scorecard!$C$2:$C$67&amp;"|"&amp;Scorecard!$D$2:$D$67,Scorecard!$E$2:$E$67,0)</f>
        <v>50</v>
      </c>
    </row>
    <row r="46" spans="1:6">
      <c r="A46" t="s">
        <v>14</v>
      </c>
      <c r="B46" s="3" t="s">
        <v>67</v>
      </c>
      <c r="C46" s="2" cm="1">
        <f t="array" ref="C46">SUMPRODUCT((INDEX(Data_Bin_clean!$B$2:$J$558,0,MATCH(A46,Data_Bin_clean!$B$1:$J$1,0))=B46)*(Data_Bin_clean!$J$2:$J$558=1))</f>
        <v>33</v>
      </c>
      <c r="D46" s="2" cm="1">
        <f t="array" ref="D46">SUMPRODUCT((INDEX(Data_Bin_clean!$B$2:$J$558,0,MATCH(A46,Data_Bin_clean!$B$1:$J$1,0))=B46)*1)</f>
        <v>400</v>
      </c>
      <c r="E46">
        <f t="shared" si="1"/>
        <v>8.25</v>
      </c>
      <c r="F46" s="2" cm="1">
        <f t="array" ref="F46">_xlfn.XLOOKUP(A46&amp;"|"&amp;B46,Scorecard!$C$2:$C$67&amp;"|"&amp;Scorecard!$D$2:$D$67,Scorecard!$E$2:$E$67,0)</f>
        <v>0</v>
      </c>
    </row>
    <row r="47" spans="1:6">
      <c r="A47" t="s">
        <v>14</v>
      </c>
      <c r="B47" t="s">
        <v>43</v>
      </c>
      <c r="C47" s="2" cm="1">
        <f t="array" ref="C47">SUMPRODUCT((INDEX(Data_Bin_clean!$B$2:$J$558,0,MATCH(A47,Data_Bin_clean!$B$1:$J$1,0))=B47)*(Data_Bin_clean!$J$2:$J$558=1))</f>
        <v>0</v>
      </c>
      <c r="D47" s="2" cm="1">
        <f t="array" ref="D47">SUMPRODUCT((INDEX(Data_Bin_clean!$B$2:$J$558,0,MATCH(A47,Data_Bin_clean!$B$1:$J$1,0))=B47)*1)</f>
        <v>31</v>
      </c>
      <c r="E47">
        <f t="shared" si="1"/>
        <v>0</v>
      </c>
      <c r="F47" s="2" cm="1">
        <f t="array" ref="F47">_xlfn.XLOOKUP(A47&amp;"|"&amp;B47,Scorecard!$C$2:$C$67&amp;"|"&amp;Scorecard!$D$2:$D$67,Scorecard!$E$2:$E$67,0)</f>
        <v>80</v>
      </c>
    </row>
    <row r="48" spans="1:6">
      <c r="A48" t="s">
        <v>14</v>
      </c>
      <c r="B48" t="s">
        <v>46</v>
      </c>
      <c r="C48" s="2" cm="1">
        <f t="array" ref="C48">SUMPRODUCT((INDEX(Data_Bin_clean!$B$2:$J$558,0,MATCH(A48,Data_Bin_clean!$B$1:$J$1,0))=B48)*(Data_Bin_clean!$J$2:$J$558=1))</f>
        <v>4</v>
      </c>
      <c r="D48" s="2" cm="1">
        <f t="array" ref="D48">SUMPRODUCT((INDEX(Data_Bin_clean!$B$2:$J$558,0,MATCH(A48,Data_Bin_clean!$B$1:$J$1,0))=B48)*1)</f>
        <v>20</v>
      </c>
      <c r="E48">
        <f t="shared" si="1"/>
        <v>20</v>
      </c>
      <c r="F48" s="2" cm="1">
        <f t="array" ref="F48">_xlfn.XLOOKUP(A48&amp;"|"&amp;B48,Scorecard!$C$2:$C$67&amp;"|"&amp;Scorecard!$D$2:$D$67,Scorecard!$E$2:$E$67,0)</f>
        <v>100</v>
      </c>
    </row>
    <row r="49" spans="1:6">
      <c r="A49" t="s">
        <v>14</v>
      </c>
      <c r="B49" t="s">
        <v>51</v>
      </c>
      <c r="C49" s="2" cm="1">
        <f t="array" ref="C49">SUMPRODUCT((INDEX(Data_Bin_clean!$B$2:$J$558,0,MATCH(A49,Data_Bin_clean!$B$1:$J$1,0))=B49)*(Data_Bin_clean!$J$2:$J$558=1))</f>
        <v>1</v>
      </c>
      <c r="D49" s="2" cm="1">
        <f t="array" ref="D49">SUMPRODUCT((INDEX(Data_Bin_clean!$B$2:$J$558,0,MATCH(A49,Data_Bin_clean!$B$1:$J$1,0))=B49)*1)</f>
        <v>26</v>
      </c>
      <c r="E49">
        <f t="shared" si="1"/>
        <v>3.85</v>
      </c>
      <c r="F49" s="2" cm="1">
        <f t="array" ref="F49">_xlfn.XLOOKUP(A49&amp;"|"&amp;B49,Scorecard!$C$2:$C$67&amp;"|"&amp;Scorecard!$D$2:$D$67,Scorecard!$E$2:$E$67,0)</f>
        <v>60</v>
      </c>
    </row>
    <row r="50" spans="1:6">
      <c r="A50" t="s">
        <v>14</v>
      </c>
      <c r="B50" t="s">
        <v>41</v>
      </c>
      <c r="C50" s="2" cm="1">
        <f t="array" ref="C50">SUMPRODUCT((INDEX(Data_Bin_clean!$B$2:$J$558,0,MATCH(A50,Data_Bin_clean!$B$1:$J$1,0))=B50)*(Data_Bin_clean!$J$2:$J$558=1))</f>
        <v>2</v>
      </c>
      <c r="D50" s="2" cm="1">
        <f t="array" ref="D50">SUMPRODUCT((INDEX(Data_Bin_clean!$B$2:$J$558,0,MATCH(A50,Data_Bin_clean!$B$1:$J$1,0))=B50)*1)</f>
        <v>28</v>
      </c>
      <c r="E50">
        <f t="shared" si="1"/>
        <v>7.14</v>
      </c>
      <c r="F50" s="2" cm="1">
        <f t="array" ref="F50">_xlfn.XLOOKUP(A50&amp;"|"&amp;B50,Scorecard!$C$2:$C$67&amp;"|"&amp;Scorecard!$D$2:$D$67,Scorecard!$E$2:$E$67,0)</f>
        <v>0</v>
      </c>
    </row>
    <row r="51" spans="1:6">
      <c r="A51" t="s">
        <v>14</v>
      </c>
      <c r="B51" t="s">
        <v>57</v>
      </c>
      <c r="C51" s="2" cm="1">
        <f t="array" ref="C51">SUMPRODUCT((INDEX(Data_Bin_clean!$B$2:$J$558,0,MATCH(A51,Data_Bin_clean!$B$1:$J$1,0))=B51)*(Data_Bin_clean!$J$2:$J$558=1))</f>
        <v>5</v>
      </c>
      <c r="D51" s="2" cm="1">
        <f t="array" ref="D51">SUMPRODUCT((INDEX(Data_Bin_clean!$B$2:$J$558,0,MATCH(A51,Data_Bin_clean!$B$1:$J$1,0))=B51)*1)</f>
        <v>25</v>
      </c>
      <c r="E51">
        <f t="shared" si="1"/>
        <v>20</v>
      </c>
      <c r="F51" s="2" cm="1">
        <f t="array" ref="F51">_xlfn.XLOOKUP(A51&amp;"|"&amp;B51,Scorecard!$C$2:$C$67&amp;"|"&amp;Scorecard!$D$2:$D$67,Scorecard!$E$2:$E$67,0)</f>
        <v>40</v>
      </c>
    </row>
    <row r="52" spans="1:6">
      <c r="A52" t="s">
        <v>14</v>
      </c>
      <c r="B52" t="s">
        <v>63</v>
      </c>
      <c r="C52" s="2" cm="1">
        <f t="array" ref="C52">SUMPRODUCT((INDEX(Data_Bin_clean!$B$2:$J$558,0,MATCH(A52,Data_Bin_clean!$B$1:$J$1,0))=B52)*(Data_Bin_clean!$J$2:$J$558=1))</f>
        <v>2</v>
      </c>
      <c r="D52" s="2" cm="1">
        <f t="array" ref="D52">SUMPRODUCT((INDEX(Data_Bin_clean!$B$2:$J$558,0,MATCH(A52,Data_Bin_clean!$B$1:$J$1,0))=B52)*1)</f>
        <v>18</v>
      </c>
      <c r="E52">
        <f t="shared" si="1"/>
        <v>11.11</v>
      </c>
      <c r="F52" s="2" cm="1">
        <f t="array" ref="F52">_xlfn.XLOOKUP(A52&amp;"|"&amp;B52,Scorecard!$C$2:$C$67&amp;"|"&amp;Scorecard!$D$2:$D$67,Scorecard!$E$2:$E$67,0)</f>
        <v>0</v>
      </c>
    </row>
    <row r="53" spans="1:6">
      <c r="A53" t="s">
        <v>14</v>
      </c>
      <c r="B53" t="s">
        <v>66</v>
      </c>
      <c r="C53" s="2" cm="1">
        <f t="array" ref="C53">SUMPRODUCT((INDEX(Data_Bin_clean!$B$2:$J$558,0,MATCH(A53,Data_Bin_clean!$B$1:$J$1,0))=B53)*(Data_Bin_clean!$J$2:$J$558=1))</f>
        <v>3</v>
      </c>
      <c r="D53" s="2" cm="1">
        <f t="array" ref="D53">SUMPRODUCT((INDEX(Data_Bin_clean!$B$2:$J$558,0,MATCH(A53,Data_Bin_clean!$B$1:$J$1,0))=B53)*1)</f>
        <v>9</v>
      </c>
      <c r="E53">
        <f t="shared" si="1"/>
        <v>33.33</v>
      </c>
      <c r="F53" s="2" cm="1">
        <f t="array" ref="F53">_xlfn.XLOOKUP(A53&amp;"|"&amp;B53,Scorecard!$C$2:$C$67&amp;"|"&amp;Scorecard!$D$2:$D$67,Scorecard!$E$2:$E$67,0)</f>
        <v>20</v>
      </c>
    </row>
    <row r="54" spans="1:6">
      <c r="A54" t="s">
        <v>15</v>
      </c>
      <c r="B54" t="s">
        <v>41</v>
      </c>
      <c r="C54" s="2" cm="1">
        <f t="array" ref="C54">SUMPRODUCT((INDEX(Data_Bin_clean!$B$2:$J$558,0,MATCH(A54,Data_Bin_clean!$B$1:$J$1,0))=B54)*(Data_Bin_clean!$J$2:$J$558=1))</f>
        <v>9</v>
      </c>
      <c r="D54" s="2" cm="1">
        <f t="array" ref="D54">SUMPRODUCT((INDEX(Data_Bin_clean!$B$2:$J$558,0,MATCH(A54,Data_Bin_clean!$B$1:$J$1,0))=B54)*1)</f>
        <v>108</v>
      </c>
      <c r="E54">
        <f t="shared" si="1"/>
        <v>8.33</v>
      </c>
      <c r="F54" s="2" cm="1">
        <f t="array" ref="F54">_xlfn.XLOOKUP(A54&amp;"|"&amp;B54,Scorecard!$C$2:$C$67&amp;"|"&amp;Scorecard!$D$2:$D$67,Scorecard!$E$2:$E$67,0)</f>
        <v>0</v>
      </c>
    </row>
    <row r="55" spans="1:6">
      <c r="A55" t="s">
        <v>15</v>
      </c>
      <c r="B55" t="s">
        <v>44</v>
      </c>
      <c r="C55" s="2" cm="1">
        <f t="array" ref="C55">SUMPRODUCT((INDEX(Data_Bin_clean!$B$2:$J$558,0,MATCH(A55,Data_Bin_clean!$B$1:$J$1,0))=B55)*(Data_Bin_clean!$J$2:$J$558=1))</f>
        <v>13</v>
      </c>
      <c r="D55" s="2" cm="1">
        <f t="array" ref="D55">SUMPRODUCT((INDEX(Data_Bin_clean!$B$2:$J$558,0,MATCH(A55,Data_Bin_clean!$B$1:$J$1,0))=B55)*1)</f>
        <v>72</v>
      </c>
      <c r="E55">
        <f t="shared" si="1"/>
        <v>18.06</v>
      </c>
      <c r="F55" s="2" cm="1">
        <f t="array" ref="F55">_xlfn.XLOOKUP(A55&amp;"|"&amp;B55,Scorecard!$C$2:$C$67&amp;"|"&amp;Scorecard!$D$2:$D$67,Scorecard!$E$2:$E$67,0)</f>
        <v>0</v>
      </c>
    </row>
    <row r="56" spans="1:6">
      <c r="A56" t="s">
        <v>15</v>
      </c>
      <c r="B56" t="s">
        <v>47</v>
      </c>
      <c r="C56" s="2" cm="1">
        <f t="array" ref="C56">SUMPRODUCT((INDEX(Data_Bin_clean!$B$2:$J$558,0,MATCH(A56,Data_Bin_clean!$B$1:$J$1,0))=B56)*(Data_Bin_clean!$J$2:$J$558=1))</f>
        <v>1</v>
      </c>
      <c r="D56" s="2" cm="1">
        <f t="array" ref="D56">SUMPRODUCT((INDEX(Data_Bin_clean!$B$2:$J$558,0,MATCH(A56,Data_Bin_clean!$B$1:$J$1,0))=B56)*1)</f>
        <v>52</v>
      </c>
      <c r="E56">
        <f t="shared" si="1"/>
        <v>1.92</v>
      </c>
      <c r="F56" s="2" cm="1">
        <f t="array" ref="F56">_xlfn.XLOOKUP(A56&amp;"|"&amp;B56,Scorecard!$C$2:$C$67&amp;"|"&amp;Scorecard!$D$2:$D$67,Scorecard!$E$2:$E$67,0)</f>
        <v>30</v>
      </c>
    </row>
    <row r="57" spans="1:6">
      <c r="A57" t="s">
        <v>15</v>
      </c>
      <c r="B57" t="s">
        <v>52</v>
      </c>
      <c r="C57" s="2" cm="1">
        <f t="array" ref="C57">SUMPRODUCT((INDEX(Data_Bin_clean!$B$2:$J$558,0,MATCH(A57,Data_Bin_clean!$B$1:$J$1,0))=B57)*(Data_Bin_clean!$J$2:$J$558=1))</f>
        <v>2</v>
      </c>
      <c r="D57" s="2" cm="1">
        <f t="array" ref="D57">SUMPRODUCT((INDEX(Data_Bin_clean!$B$2:$J$558,0,MATCH(A57,Data_Bin_clean!$B$1:$J$1,0))=B57)*1)</f>
        <v>60</v>
      </c>
      <c r="E57">
        <f t="shared" si="1"/>
        <v>3.33</v>
      </c>
      <c r="F57" s="2" cm="1">
        <f t="array" ref="F57">_xlfn.XLOOKUP(A57&amp;"|"&amp;B57,Scorecard!$C$2:$C$67&amp;"|"&amp;Scorecard!$D$2:$D$67,Scorecard!$E$2:$E$67,0)</f>
        <v>50</v>
      </c>
    </row>
    <row r="58" spans="1:6">
      <c r="A58" t="s">
        <v>15</v>
      </c>
      <c r="B58" t="s">
        <v>53</v>
      </c>
      <c r="C58" s="2" cm="1">
        <f t="array" ref="C58">SUMPRODUCT((INDEX(Data_Bin_clean!$B$2:$J$558,0,MATCH(A58,Data_Bin_clean!$B$1:$J$1,0))=B58)*(Data_Bin_clean!$J$2:$J$558=1))</f>
        <v>1</v>
      </c>
      <c r="D58" s="2" cm="1">
        <f t="array" ref="D58">SUMPRODUCT((INDEX(Data_Bin_clean!$B$2:$J$558,0,MATCH(A58,Data_Bin_clean!$B$1:$J$1,0))=B58)*1)</f>
        <v>33</v>
      </c>
      <c r="E58">
        <f t="shared" si="1"/>
        <v>3.03</v>
      </c>
      <c r="F58" s="2" cm="1">
        <f t="array" ref="F58">_xlfn.XLOOKUP(A58&amp;"|"&amp;B58,Scorecard!$C$2:$C$67&amp;"|"&amp;Scorecard!$D$2:$D$67,Scorecard!$E$2:$E$67,0)</f>
        <v>90</v>
      </c>
    </row>
    <row r="59" spans="1:6">
      <c r="A59" t="s">
        <v>15</v>
      </c>
      <c r="B59" t="s">
        <v>54</v>
      </c>
      <c r="C59" s="2" cm="1">
        <f t="array" ref="C59">SUMPRODUCT((INDEX(Data_Bin_clean!$B$2:$J$558,0,MATCH(A59,Data_Bin_clean!$B$1:$J$1,0))=B59)*(Data_Bin_clean!$J$2:$J$558=1))</f>
        <v>5</v>
      </c>
      <c r="D59" s="2" cm="1">
        <f t="array" ref="D59">SUMPRODUCT((INDEX(Data_Bin_clean!$B$2:$J$558,0,MATCH(A59,Data_Bin_clean!$B$1:$J$1,0))=B59)*1)</f>
        <v>41</v>
      </c>
      <c r="E59">
        <f t="shared" si="1"/>
        <v>12.2</v>
      </c>
      <c r="F59" s="2" cm="1">
        <f t="array" ref="F59">_xlfn.XLOOKUP(A59&amp;"|"&amp;B59,Scorecard!$C$2:$C$67&amp;"|"&amp;Scorecard!$D$2:$D$67,Scorecard!$E$2:$E$67,0)</f>
        <v>10</v>
      </c>
    </row>
    <row r="60" spans="1:6">
      <c r="A60" t="s">
        <v>15</v>
      </c>
      <c r="B60" s="3" t="s">
        <v>67</v>
      </c>
      <c r="C60" s="2" cm="1">
        <f t="array" ref="C60">SUMPRODUCT((INDEX(Data_Bin_clean!$B$2:$J$558,0,MATCH(A60,Data_Bin_clean!$B$1:$J$1,0))=B60)*(Data_Bin_clean!$J$2:$J$558=1))</f>
        <v>18</v>
      </c>
      <c r="D60" s="2" cm="1">
        <f t="array" ref="D60">SUMPRODUCT((INDEX(Data_Bin_clean!$B$2:$J$558,0,MATCH(A60,Data_Bin_clean!$B$1:$J$1,0))=B60)*1)</f>
        <v>122</v>
      </c>
      <c r="E60">
        <f t="shared" si="1"/>
        <v>14.75</v>
      </c>
      <c r="F60" s="2" cm="1">
        <f t="array" ref="F60">_xlfn.XLOOKUP(A60&amp;"|"&amp;B60,Scorecard!$C$2:$C$67&amp;"|"&amp;Scorecard!$D$2:$D$67,Scorecard!$E$2:$E$67,0)</f>
        <v>0</v>
      </c>
    </row>
    <row r="61" spans="1:6">
      <c r="A61" t="s">
        <v>15</v>
      </c>
      <c r="B61" t="s">
        <v>59</v>
      </c>
      <c r="C61" s="2">
        <v>3</v>
      </c>
      <c r="D61" s="2" cm="1">
        <f t="array" ref="D61">SUMPRODUCT((INDEX(Data_Bin_clean!$B$2:$J$558,0,MATCH(A61,Data_Bin_clean!$B$1:$J$1,0))=B61)*1)</f>
        <v>41</v>
      </c>
      <c r="E61">
        <f t="shared" si="1"/>
        <v>7.32</v>
      </c>
      <c r="F61" s="2" cm="1">
        <f t="array" ref="F61">_xlfn.XLOOKUP(A61&amp;"|"&amp;B61,Scorecard!$C$2:$C$67&amp;"|"&amp;Scorecard!$D$2:$D$67,Scorecard!$E$2:$E$67,0)</f>
        <v>100</v>
      </c>
    </row>
    <row r="62" spans="1:6">
      <c r="A62" t="s">
        <v>15</v>
      </c>
      <c r="B62" t="s">
        <v>62</v>
      </c>
      <c r="C62" s="2">
        <v>3</v>
      </c>
      <c r="D62" s="2" cm="1">
        <f t="array" ref="D62">SUMPRODUCT((INDEX(Data_Bin_clean!$B$2:$J$558,0,MATCH(A62,Data_Bin_clean!$B$1:$J$1,0))=B62)*1)</f>
        <v>28</v>
      </c>
      <c r="E62">
        <f t="shared" si="1"/>
        <v>10.71</v>
      </c>
      <c r="F62" s="2" cm="1">
        <f t="array" ref="F62">_xlfn.XLOOKUP(A62&amp;"|"&amp;B62,Scorecard!$C$2:$C$67&amp;"|"&amp;Scorecard!$D$2:$D$67,Scorecard!$E$2:$E$67,0)</f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Instructions</vt:lpstr>
      <vt:lpstr>Data</vt:lpstr>
      <vt:lpstr>Data_Bin</vt:lpstr>
      <vt:lpstr>Data_Bin_clean</vt:lpstr>
      <vt:lpstr>Scorecard</vt:lpstr>
      <vt:lpstr>Test</vt:lpstr>
      <vt:lpstr>Solution</vt:lpstr>
      <vt:lpstr>Default Rate By bin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themrungruangkul@deloitte.com</dc:creator>
  <cp:lastModifiedBy>leekim</cp:lastModifiedBy>
  <dcterms:created xsi:type="dcterms:W3CDTF">2024-06-18T19:44:00Z</dcterms:created>
  <dcterms:modified xsi:type="dcterms:W3CDTF">2026-03-18T07:49:42Z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2024-06-18T04:27:52Z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d9f6ef96-d64b-4df0-a58c-4eb0d2a1ba1d</vt:lpwstr>
  </property>
  <property fmtid="{D5CDD505-2E9C-101B-9397-08002B2CF9AE}" pid="8" name="MSIP_Label_ea60d57e-af5b-4752-ac57-3e4f28ca11dc_ContentBits">
    <vt:lpwstr>0</vt:lpwstr>
  </property>
  <property fmtid="{D5CDD505-2E9C-101B-9397-08002B2CF9AE}" pid="9" name="KSOProductBuildVer">
    <vt:lpwstr>1033-6.11.0.8608</vt:lpwstr>
  </property>
  <property fmtid="{D5CDD505-2E9C-101B-9397-08002B2CF9AE}" pid="10" name="ICV">
    <vt:lpwstr>BFB1D9C5645C7F98A6F6B969C64575B8_43</vt:lpwstr>
  </property>
</Properties>
</file>